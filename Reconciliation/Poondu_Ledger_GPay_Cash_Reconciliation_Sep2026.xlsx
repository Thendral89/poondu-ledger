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Pay-UPI Summary" sheetId="1" state="visible" r:id="rId3"/>
    <sheet name="Category Totals" sheetId="2" state="visible" r:id="rId4"/>
    <sheet name="Cash Reconciliation Notes" sheetId="3" state="visible" r:id="rId5"/>
    <sheet name="Nagarajan Spend Aug1-31" sheetId="4" state="visible" r:id="rId6"/>
    <sheet name="TNS-HDFC 7278" sheetId="5" state="visible" r:id="rId7"/>
    <sheet name="Nagarajan-HDFC 6393" sheetId="6" state="visible" r:id="rId8"/>
    <sheet name="Nagarajan-ICICI 0314"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<sst xmlns="http://schemas.openxmlformats.org/spreadsheetml/2006/main" count="2754" uniqueCount="715">
  <si>
    <t xml:space="preserve">GPay / UPI — Incoming &amp; Outgoing, Date-wise by Account</t>
  </si>
  <si>
    <t xml:space="preserve">UPI-tagged transactions only (excludes NEFT/IMPS/EMI/cash-deposit/internal transfers, shown separately in the Category Totals tab). All figures pull live via SUMIFS from each account's raw sheet.</t>
  </si>
  <si>
    <t xml:space="preserve">Date</t>
  </si>
  <si>
    <t xml:space="preserve">TNS Traders (HDFC 7278)
GPay In</t>
  </si>
  <si>
    <t xml:space="preserve">TNS Traders (HDFC 7278)
GPay Out</t>
  </si>
  <si>
    <t xml:space="preserve">Nagarajan (HDFC 6393)
GPay In</t>
  </si>
  <si>
    <t xml:space="preserve">Nagarajan (HDFC 6393)
GPay Out</t>
  </si>
  <si>
    <t xml:space="preserve">Nagarajan (ICICI 0314)
GPay In</t>
  </si>
  <si>
    <t xml:space="preserve">Nagarajan (ICICI 0314)
GPay Out</t>
  </si>
  <si>
    <t xml:space="preserve">Total GPay In (all accounts)</t>
  </si>
  <si>
    <t xml:space="preserve">2026-07-06</t>
  </si>
  <si>
    <t xml:space="preserve">2026-07-07</t>
  </si>
  <si>
    <t xml:space="preserve">2026-07-08</t>
  </si>
  <si>
    <t xml:space="preserve">2026-07-09</t>
  </si>
  <si>
    <t xml:space="preserve">2026-07-10</t>
  </si>
  <si>
    <t xml:space="preserve">2026-07-11</t>
  </si>
  <si>
    <t xml:space="preserve">2026-07-12</t>
  </si>
  <si>
    <t xml:space="preserve">2026-07-13</t>
  </si>
  <si>
    <t xml:space="preserve">2026-07-14</t>
  </si>
  <si>
    <t xml:space="preserve">2026-07-15</t>
  </si>
  <si>
    <t xml:space="preserve">2026-07-16</t>
  </si>
  <si>
    <t xml:space="preserve">2026-07-17</t>
  </si>
  <si>
    <t xml:space="preserve">2026-07-18</t>
  </si>
  <si>
    <t xml:space="preserve">2026-07-19</t>
  </si>
  <si>
    <t xml:space="preserve">2026-07-20</t>
  </si>
  <si>
    <t xml:space="preserve">2026-07-21</t>
  </si>
  <si>
    <t xml:space="preserve">2026-07-22</t>
  </si>
  <si>
    <t xml:space="preserve">2026-07-23</t>
  </si>
  <si>
    <t xml:space="preserve">2026-07-24</t>
  </si>
  <si>
    <t xml:space="preserve">2026-07-25</t>
  </si>
  <si>
    <t xml:space="preserve">2026-07-26</t>
  </si>
  <si>
    <t xml:space="preserve">2026-07-27</t>
  </si>
  <si>
    <t xml:space="preserve">2026-07-28</t>
  </si>
  <si>
    <t xml:space="preserve">2026-07-29</t>
  </si>
  <si>
    <t xml:space="preserve">2026-07-30</t>
  </si>
  <si>
    <t xml:space="preserve">2026-07-31</t>
  </si>
  <si>
    <t xml:space="preserve">2026-08-01</t>
  </si>
  <si>
    <t xml:space="preserve">2026-08-02</t>
  </si>
  <si>
    <t xml:space="preserve">2026-08-03</t>
  </si>
  <si>
    <t xml:space="preserve">2026-08-04</t>
  </si>
  <si>
    <t xml:space="preserve">2026-08-05</t>
  </si>
  <si>
    <t xml:space="preserve">2026-08-06</t>
  </si>
  <si>
    <t xml:space="preserve">2026-08-07</t>
  </si>
  <si>
    <t xml:space="preserve">2026-08-08</t>
  </si>
  <si>
    <t xml:space="preserve">2026-08-09</t>
  </si>
  <si>
    <t xml:space="preserve">2026-08-10</t>
  </si>
  <si>
    <t xml:space="preserve">2026-08-11</t>
  </si>
  <si>
    <t xml:space="preserve">2026-08-12</t>
  </si>
  <si>
    <t xml:space="preserve">2026-08-13</t>
  </si>
  <si>
    <t xml:space="preserve">2026-08-14</t>
  </si>
  <si>
    <t xml:space="preserve">2026-08-15</t>
  </si>
  <si>
    <t xml:space="preserve">2026-08-16</t>
  </si>
  <si>
    <t xml:space="preserve">2026-08-17</t>
  </si>
  <si>
    <t xml:space="preserve">2026-08-18</t>
  </si>
  <si>
    <t xml:space="preserve">2026-08-19</t>
  </si>
  <si>
    <t xml:space="preserve">2026-08-20</t>
  </si>
  <si>
    <t xml:space="preserve">2026-08-21</t>
  </si>
  <si>
    <t xml:space="preserve">2026-08-22</t>
  </si>
  <si>
    <t xml:space="preserve">2026-08-23</t>
  </si>
  <si>
    <t xml:space="preserve">2026-08-24</t>
  </si>
  <si>
    <t xml:space="preserve">2026-08-25</t>
  </si>
  <si>
    <t xml:space="preserve">2026-08-26</t>
  </si>
  <si>
    <t xml:space="preserve">2026-08-27</t>
  </si>
  <si>
    <t xml:space="preserve">2026-08-28</t>
  </si>
  <si>
    <t xml:space="preserve">2026-08-29</t>
  </si>
  <si>
    <t xml:space="preserve">2026-08-30</t>
  </si>
  <si>
    <t xml:space="preserve">2026-08-31</t>
  </si>
  <si>
    <t xml:space="preserve">2026-09-01</t>
  </si>
  <si>
    <t xml:space="preserve">TOTAL</t>
  </si>
  <si>
    <t xml:space="preserve">Transaction Category Totals by Account</t>
  </si>
  <si>
    <t xml:space="preserve">Every rupee in each statement, split by transaction type — confirms nothing was missed classifying UPI vs NEFT/IMPS/EMI/etc.</t>
  </si>
  <si>
    <t xml:space="preserve">TNS Traders (HDFC 7278)</t>
  </si>
  <si>
    <t xml:space="preserve">Category</t>
  </si>
  <si>
    <t xml:space="preserve">Withdrawal (₹)</t>
  </si>
  <si>
    <t xml:space="preserve">Deposit (₹)</t>
  </si>
  <si>
    <t xml:space="preserve">Count</t>
  </si>
  <si>
    <t xml:space="preserve">UPI</t>
  </si>
  <si>
    <t xml:space="preserve">NEFT</t>
  </si>
  <si>
    <t xml:space="preserve">IMPS</t>
  </si>
  <si>
    <t xml:space="preserve">EMI</t>
  </si>
  <si>
    <t xml:space="preserve">FT (internal transfer)</t>
  </si>
  <si>
    <t xml:space="preserve">Cash Deposit</t>
  </si>
  <si>
    <t xml:space="preserve">Bill/Internet transfer</t>
  </si>
  <si>
    <t xml:space="preserve">Other</t>
  </si>
  <si>
    <t xml:space="preserve">Account Total</t>
  </si>
  <si>
    <t xml:space="preserve">Nagarajan (HDFC 6393)</t>
  </si>
  <si>
    <t xml:space="preserve">Nagarajan (ICICI 0314)</t>
  </si>
  <si>
    <t xml:space="preserve">Cash-in-Hand Discrepancy — Diagnostic Notes</t>
  </si>
  <si>
    <t xml:space="preserve">1. What was verified with certainty</t>
  </si>
  <si>
    <t xml:space="preserve">All three bank statements were parsed programmatically (not by eye) from the PDF text layer. Every account's extracted Withdrawal and Deposit totals were checked against that statement's own printed summary line and match to the paisa:</t>
  </si>
  <si>
    <t xml:space="preserve">   • TNS Traders (HDFC 7278): Debits ₹38,010.84 / Credits ₹1,74,820.00 — matches statement summary exactly.</t>
  </si>
  <si>
    <t xml:space="preserve">   • Nagarajan (HDFC 6393): Debits ₹3,52,296.00 / Credits ₹2,98,064.45 — matches statement summary exactly.</t>
  </si>
  <si>
    <t xml:space="preserve">   • Nagarajan (ICICI 0314): opening balance + deposits − withdrawals reproduces the statement's final closing balance (₹10.13) to the paisa.</t>
  </si>
  <si>
    <t xml:space="preserve">The "GPay-UPI Summary" and "Category Totals" tabs are the direct, fully-verified answer to "overall GPay expense amount &amp; incoming amount, account-wise and date-wise."</t>
  </si>
  <si>
    <t xml:space="preserve">2. The cash-in-hand number could not be reconciled from this session's data — here is exactly why</t>
  </si>
  <si>
    <t xml:space="preserve">The Poondu Ledger app's "Cash In Hand" dashboard tile is bound to a formula the app itself labels "Cash In Hand (LIQUID)" — its own on-screen note says it "Combines Cash + GPay." I pulled the live ledger data directly from the deployed app (same source it reads from) and recomputed that exact formula in Python line-for-line. Result: ₹8,31,396 — not the ₹12,18,047 you quoted. That is a ₹3,86,651 gap I cannot explain from data available in this session.</t>
  </si>
  <si>
    <t xml:space="preserve">This means the ₹12,18,047 figure either came from a browser tab that had not refreshed against the sheet since some recent entries/deletions were made, or from a different tile/moment than the one I recomputed. Before chasing the "true" gap any further, please hard-refresh the Poondu Ledger app and re-read the Cash In Hand tile — if it still reads ₹12,18,047 against a freshly-loaded page, tell me and I will re-derive the formula from the live page's own JS execution rather than from a static copy of index.html, in case the deployed code has drifted from the file I have on record.</t>
  </si>
  <si>
    <t xml:space="preserve">3. The real architectural finding — true regardless of which of the two numbers above is right</t>
  </si>
  <si>
    <t xml:space="preserve">Every sale and expense in the ledger from July 2 through September 1 is flagged isCash:true, with exactly ONE exception (one ₹11,000 credit sale). That is not a coincidence — the Cash / GPay / Credit payment-mode split was only added to the app THIS session (Sept 2). Every entry made before today defaulted to isCash:true because that field did not meaningfully exist yet.</t>
  </si>
  <si>
    <t xml:space="preserve">Consequence: the app's "Cash In Hand" — whichever of its two formulas you look at (Liquid or Physical) — is currently treating money that actually landed in a bank account via UPI as if it were sitting in the physical till. That is very likely the real source of the gap you're chasing, structurally, independent of the exact rupee figure above.</t>
  </si>
  <si>
    <t xml:space="preserve">From the bank statements (verified, see tab 1): ₹1,74,820 landed in the TNS Traders current account via UPI/GPay, and ₹1,44,708 landed in Nagarajan's HDFC savings account via UPI/GPay, during the period covered by these three statements — money the ledger currently has no way of excluding from "cash," because nothing retroactively tags which historical sale was paid by which method.</t>
  </si>
  <si>
    <t xml:space="preserve">4. What this does NOT yet solve</t>
  </si>
  <si>
    <t xml:space="preserve">This is transaction-level bank data, not a lookup against your actual per-sale collection records. I cannot tell from a bank statement alone which specific ledger sale a given UPI credit corresponds to (the statements show payer UPI handles/app aggregator names, not "Sale #47"). Matching each bank credit to a specific sale row — the only way to retroactively fix isCash on the historical entries — needs either manual tagging by you/Nagaraj (who know which sale was cash vs GPay) or a much larger cross-referencing pass I have not attempted here.</t>
  </si>
  <si>
    <t xml:space="preserve">5. Recommended next step</t>
  </si>
  <si>
    <t xml:space="preserve">(a) Re-check the live Cash In Hand tile per point 2 above and tell me what it actually reads right now.</t>
  </si>
  <si>
    <t xml:space="preserve">(b) Rather than another manual month-end audit, retroactively tag July–August sales as Cash vs GPay where you can recall/verify it (even approximately) — every future entry already captures this correctly since this session's deploy, so the gap should stop growing from today forward.</t>
  </si>
  <si>
    <t xml:space="preserve">(c) I can build a one-time "bulk re-tag" screen in the app (list all isCash:true sales in a date range, let you flip individual ones to GPay in bulk) if manually editing each one in Google Sheets is too slow — say the word and I'll scope it.</t>
  </si>
  <si>
    <t xml:space="preserve">Nagarajan Personal Accounts - Spend Detail, Aug 1-16 vs Aug 17-31</t>
  </si>
  <si>
    <t xml:space="preserve">Covers both HDFC 6393 and ICICI 0314. "Spend" = Withdrawal column. Col H flags internal money movement (self-transfer between the two personal accounts, or capital sent to TNS Traders current a/c) - not real spend. Col I flags verified genuine shop/procurement purchases (AKJ Traders, Dhanalakshmi Poondu garlic supplier) - matched only where the supplier name is the FIRST word of the narration, to avoid a known trailing-text parsing artifact on ICICI rows.</t>
  </si>
  <si>
    <t xml:space="preserve">SUMMARY</t>
  </si>
  <si>
    <t xml:space="preserve">Window</t>
  </si>
  <si>
    <t xml:space="preserve">Total Spend</t>
  </si>
  <si>
    <t xml:space="preserve">Spend txns</t>
  </si>
  <si>
    <t xml:space="preserve">Internal transfers (excl.)</t>
  </si>
  <si>
    <t xml:space="preserve">Genuine shop/procurement spend</t>
  </si>
  <si>
    <t xml:space="preserve">Other/personal spend (remainder)</t>
  </si>
  <si>
    <t xml:space="preserve">W1: Aug 1-16</t>
  </si>
  <si>
    <t xml:space="preserve">W2: Aug 17-31</t>
  </si>
  <si>
    <t xml:space="preserve">DETAIL (all transactions, both accounts)</t>
  </si>
  <si>
    <t xml:space="preserve">Account</t>
  </si>
  <si>
    <t xml:space="preserve">Narration</t>
  </si>
  <si>
    <t xml:space="preserve">Withdrawal (Spend)</t>
  </si>
  <si>
    <t xml:space="preserve">Deposit</t>
  </si>
  <si>
    <t xml:space="preserve">Internal / Not a real spend?</t>
  </si>
  <si>
    <t xml:space="preserve">Genuine shop purchase?</t>
  </si>
  <si>
    <t xml:space="preserve">HDFC 6393</t>
  </si>
  <si>
    <t xml:space="preserve">UPI-AKJ TRADERS-NASSARAKJ786@OKAXIS-UTIB 0000477-127180727435-UPI</t>
  </si>
  <si>
    <t xml:space="preserve">Yes - AKJ Traders (supplier)</t>
  </si>
  <si>
    <t xml:space="preserve">UPI-BADMAVATHI P-KAVIBHAVANA381@OKHDFCBA NK-CNRB0000033-127202893401-UPI</t>
  </si>
  <si>
    <t xml:space="preserve">UPI-HARIRITHANYA M-MUTHUKUMARP14771-5@O KAXIS-UCBA0000030-621306091961-UPI</t>
  </si>
  <si>
    <t xml:space="preserve">ICICI 0314</t>
  </si>
  <si>
    <t xml:space="preserve">PhonePe Limited NEFT-YESAP62134270843-PhonePe Limited-F09 M22UYYZ10YB2URED-002261100000025- YESB0000001 PhonePe Limited</t>
  </si>
  <si>
    <t xml:space="preserve">UPI-FORSRE MUTHUKUMARAN-PAYTM-8802906@P TYS-YESB0PTMUPI-127253749648-UPI</t>
  </si>
  <si>
    <t xml:space="preserve">UPI-MRSBASKAR-BASKAR3739@OKICICI-IDIB0 00T015-621476312407-TRANSPORT</t>
  </si>
  <si>
    <t xml:space="preserve">PhonePe Limited NEFT-YESAP62144194966-PhonePe Limited-F09 M22UYYZ10YB2URED-002261100000025- YESB0000001 PhonePe Limited</t>
  </si>
  <si>
    <t xml:space="preserve">UPI-J UDAYAKUMAR-UDAYSON007@OKAXIS-UTIB0 001294-621586033782-UPI</t>
  </si>
  <si>
    <t xml:space="preserve">UPI-SAVALARAM-PAYTMQR6MYBWG@PTYS-YESB0PT MUPI-127300151139-UPI HDFCBANKLIMITED *Closingbalanceincludesfundsearmarkedforholdandunclearedfunds Contentsofthisstatementwillbeconsideredcorrectifnoerrorisreportedwithin30daysofreceiptofstatement.TheaddressonthisstatementisthatonrecordwiththeBankasatthedayofrequesting thisstatement. StateaccountbranchGSTN:33AAACH2702H1Z7 HDFCBankGSTINnumberdetailsareavailableathttps://www.hdfcbank.com/personal/making-payments/online-tax-payment/goods-and-service-tax. RegisteredOfficeAddress:HDFCBankHouse,SenapatiBapatMarg,LowerParel,Mumbai400013</t>
  </si>
  <si>
    <t xml:space="preserve">UPI-MRMANIMARAN MUTHUSA-BHARATPE.9Q0U0B 0Y8Q580770@UNITYPE-SBIN0000990-127300844 945-PAYTOBHARATPEME</t>
  </si>
  <si>
    <t xml:space="preserve">UPI-SHAJAHAN IBRAHIM-9043533162@YBL-TMBL 0000059-030446898923-PAYMENTFROMPHONE</t>
  </si>
  <si>
    <t xml:space="preserve">IMPS-621514265120-NAGARAJANT-ICIC-XXXXX XXX0314-IMPSTRANSACTION</t>
  </si>
  <si>
    <t xml:space="preserve">Yes - self-transfer between own 2 accounts</t>
  </si>
  <si>
    <t xml:space="preserve">UPI-KALIAMMAL K-KALIYAMMALKALIYAMMAL510@ OKICICI-BKID0008201-658117462648-UPI</t>
  </si>
  <si>
    <t xml:space="preserve">PhonePe Limited NEFT-YESAP62155029499-PhonePe Limited-F09 M22UYYZ10YB2URED-002261100000025- YESB0000001 NAGARAJAN</t>
  </si>
  <si>
    <t xml:space="preserve">NAGARAJAN MMT/IMPS/621514265120/NAGARAJAN /HDFC0002231 PhonePe Limited</t>
  </si>
  <si>
    <t xml:space="preserve">UPI-CPMARUTHACHALAM AN-PAYTMQR6LT9FC@P TYS-YESB0PTMUPI-127343134719-UPI</t>
  </si>
  <si>
    <t xml:space="preserve">UPI-NASSARAKJ786OKAXIS-NASSARAKJ786@OKAX IS-UTIB0000477-658218532149-UPI</t>
  </si>
  <si>
    <t xml:space="preserve">UPI-JSYED RABIYAMMAL-SHAFIYASHAFIYA686@ OKSBI-TNSC0011700-658278475714-UPI</t>
  </si>
  <si>
    <t xml:space="preserve">UPI-CPMARUTHACHALAM AN-PAYTMQR6LT9ES@P TYS-YESB0PTMUPI-127384649320-UPI</t>
  </si>
  <si>
    <t xml:space="preserve">PhonePe Limited NEFT-YESAP62164484795-PhonePe Limited-F09 M22UYYZ10YB2URED-002261100000025- YESB0000001 PhonePe Limited</t>
  </si>
  <si>
    <t xml:space="preserve">UPI-SURESHLESSISHOP3-Q844887125@YBL-Y ESB0YBLUPI-127412677917-UPI</t>
  </si>
  <si>
    <t xml:space="preserve">UPI-KRISHS NAIR-KRISHSNAIR1@OKHDFCBANK- FDRL0001288-127438812736-GST</t>
  </si>
  <si>
    <t xml:space="preserve">UPI-SARAVANANS M-SMSARAVANANSMSARAVANAN 2@OKICICI-CNRB0000033-658341668011-UPI</t>
  </si>
  <si>
    <t xml:space="preserve">PhonePe Limited NEFT-YESAP62174096931-PhonePe Limited-F09 M22UYYZ10YB2URED-002261100000025- YESB0000001 PhonePe Limited</t>
  </si>
  <si>
    <t xml:space="preserve">UPI-POPULARBAKESAND HDFCBANKLIMITED *Closingbalanceincludesfundsearmarkedforholdandunclearedfunds Contentsofthisstatementwillbeconsideredcorrectifnoerrorisreportedwithin30daysofreceiptofstatement.TheaddressonthisstatementisthatonrecordwiththeBankasatthedayofrequesting thisstatement. StateaccountbranchGSTN:33AAACH2702H1Z7 HDFCBankGSTINnumberdetailsareavailableathttps://www.hdfcbank.com/personal/making-payments/online-tax-payment/goods-and-service-tax. RegisteredOfficeAddress:HDFCBankHouse,SenapatiBapatMarg,LowerParel,Mumbai400013</t>
  </si>
  <si>
    <t xml:space="preserve">IMPS-621811855692-NAGARAJANT-ICIC-XXXXX XXX0314-IMPSTRANSACTION</t>
  </si>
  <si>
    <t xml:space="preserve">UPI-NASSARAKJ786OKAXIS-NASSARAKJ786@OKAX IS-UTIB0000477-658492352651-UPI</t>
  </si>
  <si>
    <t xml:space="preserve">FT-DR-50200120147278-TNSTRADERS</t>
  </si>
  <si>
    <t xml:space="preserve">Yes - to TNS Traders (capital, not spend)</t>
  </si>
  <si>
    <t xml:space="preserve">UPI-DHILSATH M-PAYTM.S281AHM@PTY-YESB0MC HUPI-127494779858-UPI</t>
  </si>
  <si>
    <t xml:space="preserve">PhonePe Limited NEFT-YESAP62184577325-PhonePe Limited-F09 M22UYYZ10YB2URED-002261100000025- YESB0000001 NAGARAJAN</t>
  </si>
  <si>
    <t xml:space="preserve">NAGARAJAN MMT/IMPS/621811855692/NAGARAJAN /HDFC0002231 PhonePe Limited</t>
  </si>
  <si>
    <t xml:space="preserve">UPI-CPMARUTHACHALAM AN-PAYTMQR6LT9F6@P TYS-YESB0PTMUPI-127504623150-UPI</t>
  </si>
  <si>
    <t xml:space="preserve">UPI-HARIRITHANYA M-MUTHUKUMARP14771-5@O KAXIS-UCBA0000030-621997349027-UPI</t>
  </si>
  <si>
    <t xml:space="preserve">EMI467832485CHQS46783248500510826467 832485</t>
  </si>
  <si>
    <t xml:space="preserve">IMPS-621915603998-NAGARAJANT-ICIC-XXXXX XXX0314-IMPSTRANSACTION</t>
  </si>
  <si>
    <t xml:space="preserve">PhonePe Limited NEFT-YESAP62194008020-PhonePe Limited-F09 M22UYYZ10YB2URED-002261100000025- YESB0000001 AKJ TRADER</t>
  </si>
  <si>
    <t xml:space="preserve">AKJ TRADER UPI/AKJ TRADER/nassarakj786@o/UPI/AXIS BANK/621909981754/ICIc72923a6b7c5457db43ad b71d02953ad/ NAGARAJAN</t>
  </si>
  <si>
    <t xml:space="preserve">NAGARAJAN MMT/IMPS/621915603998/NAGARAJAN /HDFC0002231 Ramesh M</t>
  </si>
  <si>
    <t xml:space="preserve">Ramesh M UPI/Ramesh M/paytm.s2epecl@/UPI/YES BANK P/658586324243/ICI707f274c66f445ac9ecb5f7d5d 936d09/ Vishwa Mut</t>
  </si>
  <si>
    <t xml:space="preserve">Vishwa Mut UPI/Vishwa Mut/q661096482@ybl/UPI/YES BANK L/658579408665/ICIea8571d687234cdd8a14c0f6b 42be79e/ Vishwa Mut</t>
  </si>
  <si>
    <t xml:space="preserve">Vishwa Mut UPI/Vishwa Mut/q661096482@ybl/UPI/YES BANK L/658528629956/ICI0f2f9d9bdae84b59b2ab2ccc4a bc502d/ PhonePe Limited</t>
  </si>
  <si>
    <t xml:space="preserve">EMI467832485CHQS46783248500510826467 832485-467832485</t>
  </si>
  <si>
    <t xml:space="preserve">UPI-SHAJAHAN IBRAHIM-9043533162@YBL-TMBL 0000059-278693714287-PAYMENTFROMPHONE</t>
  </si>
  <si>
    <t xml:space="preserve">UPI-KANNAN-9597602921@AXL-IOBA0002671-16 6627795474-PAYMENTFROMPHONE</t>
  </si>
  <si>
    <t xml:space="preserve">PhonePe Limited NEFT-YESAP62204220465-PhonePe Limited-F09 M22UYYZ10YB2URED-002261100000025- YESB0000001 Noor Hasan</t>
  </si>
  <si>
    <t xml:space="preserve">Noor Hasan UPI/Noor Hasan/paytm.s1ll34j@/UPI/YES BANK P/658607433675/ICI19b5c8f7df144b62830604172 e1316e4/ www.icici.bank.in Dial your Bank 1800-1080 Please call from your registered mobile number for faster access Never share your OTP, CVV or passwords with anyone, even if the person claims to be a Bank employee.</t>
  </si>
  <si>
    <t xml:space="preserve">Suganya A UPI/Suganya A/paytm.s225qiv@/UPI/YES BANK P/658605832663/ICIbf966ef3ea034e3cb87f873253 32ce1f/ sriidharv</t>
  </si>
  <si>
    <t xml:space="preserve">sriidharv UPI/sriidharv/sriidharv@okic/UPI/ICICI Bank/658692466671/ICI03520d5d51a64f18b7870d 661208f0aa/ NEW ANNAPO</t>
  </si>
  <si>
    <t xml:space="preserve">NEW ANNAPO UPI/NEW ANNAPO/q132905451@ybl/UPI/YES BANK L/658650975973/ICIe975f315658f4937b81773f417 7cb164/ MANIMARAN</t>
  </si>
  <si>
    <t xml:space="preserve">MANIMARAN UPI/MANIMARAN/paytmqr6do4pc@/UPI/YES BANK L/658615067263/ICI5f9fdb419ff14fc5a6669e143d9 a0da7/ KATHIRVEL</t>
  </si>
  <si>
    <t xml:space="preserve">KATHIRVEL UPI/KATHIRVEL/pkvel123-1@oka/UPI/CANARA BAN/658636390038/ICIe045517df17e4397a482f93 4f556c45c/ BALAPRAKAS</t>
  </si>
  <si>
    <t xml:space="preserve">BALAPRAKAS UPI/BALAPRAKAS/9361075590@ybl/UPI/CANARA BAN/622083908686/ICI055b298e53254caaa10958 b9a1d4bf6a/ PHONEPE LIMITED</t>
  </si>
  <si>
    <t xml:space="preserve">PHONEPE LIMITED NEFT-AXNPN22104298847-PHONEPE LIMITED- PAYMENT AGGREGATOR ESCROW ACCOUNT-F09 M22UYYZ10YB2URED-922020 SHANTHI EN</t>
  </si>
  <si>
    <t xml:space="preserve">SHANTHI EN UPI/SHANTHI EN/paytm.d9209839/UPI/YES BANK P/622174728606/ICIf4bf0ba6519740898ffc6faf23c 84698/ Vinoth Man</t>
  </si>
  <si>
    <t xml:space="preserve">Vinoth Man UPI/Vinoth Man/q682511341@ybl/UPI/YES BANK L/622184136378/ICIf03f7e06203f4b9ba50b2dde47 765388/ RAJA ICE K</t>
  </si>
  <si>
    <t xml:space="preserve">RAJA ICE K UPI/RAJA ICE K/q416698740@ybl/UPI/YES BANK L/622182834056/ICI059d0d6725e547108b37cb087 c63fcb8/ THAVLATH N</t>
  </si>
  <si>
    <t xml:space="preserve">THAVLATH N UPI/THAVLATH N/eze0332903@cub/UPI/CITY UNION/622175334641/ICIe79ef0da4e2b4b55ba3f5 519715cace9/ SHAHJAHAN</t>
  </si>
  <si>
    <t xml:space="preserve">SHAHJAHAN UPI/SHAHJAHAN/gpay-112643890/UPI/AXIS BANK/622195953049/ICIed141fce814a4b36838e2 aa54be6a53d/ Syed Buhar</t>
  </si>
  <si>
    <t xml:space="preserve">Syed Buhar UPI/Syed Buhar/paytmqr5vru25@/UPI/YES BANK L/622118357514/ICI404c4c7ee5304f5682cf8544b7 42a7f3/ Absarali</t>
  </si>
  <si>
    <t xml:space="preserve">Absarali UPI/Absarali/paytm.s1lsmmg@/UPI/YES BANK P/622183976182/ICI7f193d89128246ba966185b20 a597f53/ AROMA BAKE</t>
  </si>
  <si>
    <t xml:space="preserve">AROMA BAKE UPI/AROMA BAKE/q653208232@ybl/UPI/YES BANK L/622196674389/ICI36454a5155b14702be351dd0 e3bcda49/ www.icici.bank.in Dial your Bank 1800-1080 Please call from your registered mobile number for faster access Never share your OTP, CVV or passwords with anyone, even if the person claims to be a Bank employee.</t>
  </si>
  <si>
    <t xml:space="preserve">SRI SAAI B UPI/SRI SAAI B/paytm.s17nhjp@/UPI/YES BANK P/622192784919/ICI33f00d1c8d474edb86994cd80 bfe2cee/ PhonePe Limited</t>
  </si>
  <si>
    <t xml:space="preserve">1008OVERDUELOAN-467832485RECOVERED</t>
  </si>
  <si>
    <t xml:space="preserve">PhonePe Limited NEFT-YESAP62225061469-PhonePe Limited-F09 M22UYYZ10YB2URED-002261100000025- YESB0000001 COIMBATORE</t>
  </si>
  <si>
    <t xml:space="preserve">COIMBATORE UPI/COIMBATORE/paytmqr6rayuu@/UPI/YES BANK L/658847711140/ICI8578bc9bf9244ac3be24c5f68c a8bef8/ MOHANDAS C</t>
  </si>
  <si>
    <t xml:space="preserve">MOHANDAS C UPI/MOHANDAS C/das.samsung@yb/UPI/HDFC BANK/658894761148/ICI04529ad5f43c4e87a6304 c92903915e4/ PhonePe Limited</t>
  </si>
  <si>
    <t xml:space="preserve">UPI-SENTHILNATHAN S-SSN134@OKSBI-SBIN00 15704-622396739661-UPI HDFCBANKLIMITED *Closingbalanceincludesfundsearmarkedforholdandunclearedfunds Contentsofthisstatementwillbeconsideredcorrectifnoerrorisreportedwithin30daysofreceiptofstatement.TheaddressonthisstatementisthatonrecordwiththeBankasatthedayofrequesting thisstatement. StateaccountbranchGSTN:33AAACH2702H1Z7 HDFCBankGSTINnumberdetailsareavailableathttps://www.hdfcbank.com/personal/making-payments/online-tax-payment/goods-and-service-tax. RegisteredOfficeAddress:HDFCBankHouse,SenapatiBapatMarg,LowerParel,Mumbai400013</t>
  </si>
  <si>
    <t xml:space="preserve">UPI-SENTHILNATHAN S-SSN134@OKSBI-SBIN00 15704-622396860646-UPI</t>
  </si>
  <si>
    <t xml:space="preserve">PhonePe Limited NEFT-YESAP62235056298-PhonePe Limited-F09 M22UYYZ10YB2URED-002261100000025- YESB0000001 shankarpar</t>
  </si>
  <si>
    <t xml:space="preserve">shankarpar UPI/shankarpar/shankarparamu1/UPI/State Bank/658966699715/ICI7bd1b1c270054db188b69f 5ba6e39e58/ SHRI VARI</t>
  </si>
  <si>
    <t xml:space="preserve">SHRI VARI UPI/SHRI VARI/gpay-112408887/rv garlic/AXIS BANK/658918093123/ICI16c78fe3bc0241358b43e 94c383f6ed0/ NEW ANNAPO</t>
  </si>
  <si>
    <t xml:space="preserve">NEW ANNAPO UPI/NEW ANNAPO/q132905451@ybl/UPI/YES BANK L/622385418681/ICI87616e6a33024c018d988369c 847160f/ AROMA BAKE</t>
  </si>
  <si>
    <t xml:space="preserve">AROMA BAKE UPI/AROMA BAKE/q318439692@ybl/UPI/YES BANK L/622344130012/ICI898c5cb0d8704400840a7882f c57ad69/ senthilkum</t>
  </si>
  <si>
    <t xml:space="preserve">senthilkum UPI/senthilkum/senthilkumarco/UPI/INDIAN BAN/622323229372/ICI1074b6c094b5489e9dca93 6c8cc269fd/ Sri Lakshm</t>
  </si>
  <si>
    <t xml:space="preserve">Sri Lakshm UPI/Sri Lakshm/q444639315@ybl/UPI/YES BANK L/622365634483/ICIea1ef98af38240bba4ba4009a 4df6a28/ Noor Hasan</t>
  </si>
  <si>
    <t xml:space="preserve">Noor Hasan UPI/Noor Hasan/paytm.s1ll34j@/UPI/YES BANK P/622322718810/ICI3323ac16c1c5439b8bd63f31a 5fe2fd0/ MOULEE PHA</t>
  </si>
  <si>
    <t xml:space="preserve">MOULEE PHA UPI/MOULEE PHA/gpay-112651398/UPI/AXIS BANK/622309544127/ICI2c10801126d948149f664 3a8d33d86bf/ PhonePe Limited</t>
  </si>
  <si>
    <t xml:space="preserve">PhonePe Limited NEFT-YESAP62244936821-PhonePe Limited-F09 M22UYYZ10YB2URED-002261100000025- YESB0000001 SRI RAM JU</t>
  </si>
  <si>
    <t xml:space="preserve">SRI RAM JU UPI/SRI RAM JU/q858363630@ybl/UPI/YES BANK L/622438466816/ICI7d86128de2154ee0aba7a82c9 f3152da/ www.icici.bank.in Dial your Bank 1800-1080 Please call from your registered mobile number for faster access Never share your OTP, CVV or passwords with anyone, even if the person claims to be a Bank employee.</t>
  </si>
  <si>
    <t xml:space="preserve">Suresh les UPI/Suresh les/q392373009@ybl/UPI/YES BANK L/622421078865/ICI5aba6dad1582452cb94ac47f6 46d2389/ Noor Hasan</t>
  </si>
  <si>
    <t xml:space="preserve">Noor Hasan UPI/Noor Hasan/paytm.s1ll34j@/UPI/YES BANK P/622457289761/ICIb061e68de4e149c6966d55011 d8159b3/ Vadai Shop</t>
  </si>
  <si>
    <t xml:space="preserve">Vadai Shop UPI/Vadai Shop/q024616268@ybl/UPI/YES BANK L/659050913974/ICIe40802310558439ebf4ec80b3 c1f7787/ Mrs HEMALA</t>
  </si>
  <si>
    <t xml:space="preserve">Mrs HEMALA UPI/Mrs HEMALA/hemalaraj77@ok/UPI/INDIAN BAN/659004616529/ICIcd47e73309fb4daf8037a70 6043b8829/ SRI GANAPA</t>
  </si>
  <si>
    <t xml:space="preserve">SRI GANAPA UPI/SRI GANAPA/paytmqr5jn4mg@/UPI/YES BANK L/659081043329/ICI288edca6377e4f25a889230e4 63378bf/ SRI SAI FR</t>
  </si>
  <si>
    <t xml:space="preserve">SRI SAI FR UPI/SRI SAI FR/pos.11414659@i/UPI/INDUSIND B/659086429385/ICI25c87925f4b642a093841ca2d 5148ac0/ PhonePe Limited</t>
  </si>
  <si>
    <t xml:space="preserve">UPI-SHAJAHAN IBRAHIM-9043533162@YBL-TMBL 0000059-589234399662-PAYMENTFROMPHONE</t>
  </si>
  <si>
    <t xml:space="preserve">PhonePe Limited NEFT-YESAP62255392915-PhonePe Limited-F09 M22UYYZ10YB2URED-002261100000025- YESB0000001 JAILABUDEE</t>
  </si>
  <si>
    <t xml:space="preserve">JAILABUDEE UPI/JAILABUDEE/paytmqr6rt7go@/UPI/YES BANK L/659177063480/ICIda01e4243eb2486e900db039a e46eaed/ AROMA BAKE</t>
  </si>
  <si>
    <t xml:space="preserve">AROMA BAKE UPI/AROMA BAKE/q288032486@ybl/UPI/YES BANK L/659126096579/ICI956e4a8d27bc44888e4bcbc03 72f1b5a/ SADIKH P T</t>
  </si>
  <si>
    <t xml:space="preserve">SADIKH P T UPI/SADIKH P T/gpay-112654707/UPI/AXIS BANK/622575111728/ICIaeb6e1b4594745359cbba 4d5575be565/ KARTHIKEYA</t>
  </si>
  <si>
    <t xml:space="preserve">KARTHIKEYA UPI/KARTHIKEYA/gpay-112629491/UPI/AXIS BANK/622578408614/ICIca020a951ddc416697584 122652462b9/ PhonePe Limited</t>
  </si>
  <si>
    <t xml:space="preserve">UPI-SUDHEESHP K-SUDHEESHPK034-2@OKSBI-S BIN0070346-622662944432-UPI</t>
  </si>
  <si>
    <t xml:space="preserve">UPI-SUBASHBEHERA-63524100@AXL-UBIN05639 27-195572555695-PAYMENTFROMPHONE</t>
  </si>
  <si>
    <t xml:space="preserve">UPI-P KALAISELVI-KASAMADAN021993@OKAXIS- TNSC0010000-622601092436-UPI</t>
  </si>
  <si>
    <t xml:space="preserve">PhonePe Limited NEFT-YESAP62265669490-PhonePe Limited-F09 M22UYYZ10YB2URED-002261100000025- YESB0000001 Noor Hasan</t>
  </si>
  <si>
    <t xml:space="preserve">Noor Hasan UPI/Noor Hasan/paytm.s1ll34j@/UPI/YES BANK P/622638057590/ICI0dc584230bfa41809569bc143 d9cfb5b/ Hp Petrol</t>
  </si>
  <si>
    <t xml:space="preserve">Hp Petrol UPI/Hp Petrol/q323205558@ybl/UPI/YES BANK L/622659765442/ICIc2d09fd656bb4611a7e4719d9 921864f/ Chandan Ma</t>
  </si>
  <si>
    <t xml:space="preserve">Chandan Ma UPI/Chandan Ma/chandanpurohit/UPI/State Bank/622606651439/ICIff678520c3b24ea0b61ad4 497622011a/ Sridharan</t>
  </si>
  <si>
    <t xml:space="preserve">Sridharan UPI/Sridharan/paytmqr69bqy6@/UPI/YES BANK L/622634965120/ICIaa4d6c4bf3664f4d88752e573c d68f04/ www.icici.bank.in Dial your Bank 1800-1080 Please call from your registered mobile number for faster access Never share your OTP, CVV or passwords with anyone, even if the person claims to be a Bank employee.</t>
  </si>
  <si>
    <t xml:space="preserve">ARUMUGAKAN UPI/ARUMUGAKAN/carumugakani8@/UPI/CANARA BAN/659237505604/ICIb622ae9e2bb8496c9930ea e73d3aa67d/ PhonePe Limited</t>
  </si>
  <si>
    <t xml:space="preserve">PhonePe Limited NEFT-YESAP62275442510-PhonePe Limited-F09 M22UYYZ10YB2URED-002261100000025- YESB0000001 AKJ TRADER</t>
  </si>
  <si>
    <t xml:space="preserve">AKJ TRADER UPI/AKJ TRADER/nassarakj786@o/ginger/AXIS BANK/659337941253/ICId6b32e056b7546daaeddb fc66f8f4335/ NEW ANNAPO</t>
  </si>
  <si>
    <t xml:space="preserve">NEW ANNAPO UPI/NEW ANNAPO/q132905451@ybl/UPI/YES BANK L/659377939532/ICId6ace29c87df473385addaf7fc 11615a/ PhonePe Limited</t>
  </si>
  <si>
    <t xml:space="preserve">UPI-PPRABHU PALANISWAMY-PRABHUPALANISAM Y2013@OKICICI-ICIC0001367-622848757229-U PI</t>
  </si>
  <si>
    <t xml:space="preserve">PhonePe Limited NEFT-YESAP62285002502-PhonePe Limited-F09 M22UYYZ10YB2URED-002261100000025- YESB0000001 shankarpar</t>
  </si>
  <si>
    <t xml:space="preserve">shankarpar UPI/shankarpar/shankarparamu1/UPI/State Bank/659432397174/ICI9d1d9defafcd4466a343a9 3e7e5da4f8/ SRI SAI SR</t>
  </si>
  <si>
    <t xml:space="preserve">SRI SAI SR UPI/SRI SAI SR/q280072661@ybl/UPI/YES BANK L/659425898567/ICI1c0f8ec43aa54974a6d46a198 22ad57e/ AROMA BAKE</t>
  </si>
  <si>
    <t xml:space="preserve">AROMA BAKE UPI/AROMA BAKE/q318439692@ybl/UPI/YES BANK L/622838064464/ICIebff64091a514ab8836f70521b f3b4b9/ SRI BALAAJ</t>
  </si>
  <si>
    <t xml:space="preserve">SRI BALAAJ UPI/SRI BALAAJ/paytm.s1ipzdm@/UPI/YES BANK P/622861962658/ICI8e899aeb18614f1dbdc024ce4 68ed4e1/ mthendrala</t>
  </si>
  <si>
    <t xml:space="preserve">mthendrala UPI/mthendrala/mthendralarasu/rent balan/ICICI Bank/622855088994/ICI0c835311a2144ee58b22cf 386f1b8c92 Mr Sudhaka</t>
  </si>
  <si>
    <t xml:space="preserve">Mr Sudhaka UPI/Mr Sudhaka/suthakarann699/UPI/CITY UNION/622801385516/ICI21aba6953d5342e0a861 dbd2df1665a7/ PhonePe Limited</t>
  </si>
  <si>
    <t xml:space="preserve">UPI-J DHARMASEELAN-DJSSEELI48@OKAXIS-TMB L0000335-659533689520-UPI</t>
  </si>
  <si>
    <t xml:space="preserve">PhonePe Limited NEFT-YESAP62295323133-PhonePe Limited-F09 M22UYYZ10YB2URED-002261100000025- YESB0000001 JAILABUDEE</t>
  </si>
  <si>
    <t xml:space="preserve">JAILABUDEE UPI/JAILABUDEE/paytmqr6q26w1@/UPI/YES BANK L/659535803583/ICId896c91e73f54190b5430ed85 b166041/ Sri Lakshm</t>
  </si>
  <si>
    <t xml:space="preserve">Sri Lakshm UPI/Sri Lakshm/q444639315@ybl/UPI/YES BANK L/659537013511/ICIc1f47d5a1da3445f821362029 ab847d7/ C P Maruth</t>
  </si>
  <si>
    <t xml:space="preserve">C P Maruth UPI/C P Maruth/paytmqr6lt9et@/UPI/YES BANK L/659503752045/ICIb3120f85a5d64341a4367085d 7d76e04/ www.icici.bank.in Dial your Bank 1800-1080 Please call from your registered mobile number for faster access Never share your OTP, CVV or passwords with anyone, even if the person claims to be a Bank employee.</t>
  </si>
  <si>
    <t xml:space="preserve">GEETHA R UPI/GEETHA R/7708884967@pth/UPI/TAMILNAD M/659598253512/ICI55129317f38f46b8aab52c669 310f31a/ PhonePe Limited</t>
  </si>
  <si>
    <t xml:space="preserve">UPI-P JAYAKUMAR-JAYAPPA2710@OKICICI-IOBA 0001470-659697274939-UPI</t>
  </si>
  <si>
    <t xml:space="preserve">UPI-P KALAISELVI-KASAMADAN021993@OKAXIS- TNSC0010000-623034594468-UPI</t>
  </si>
  <si>
    <t xml:space="preserve">PhonePe Limited NEFT-YESAP62305275041-PhonePe Limited-F09 M22UYYZ10YB2URED-002261100000025- YESB0000001 Mr KARTHIK</t>
  </si>
  <si>
    <t xml:space="preserve">Mr KARTHIK UPI/Mr KARTHIK/paytm.s1ykans@/UPI/YES BANK P/659676554046/ICIb9af4038d86e44b1a7a4253fd 05b025f/ SRI RAM JU</t>
  </si>
  <si>
    <t xml:space="preserve">SRI RAM JU UPI/SRI RAM JU/q858363630@ybl/UPI/YES BANK L/659688961460/ICI08ede701b7364428a9473769 a8560c66/ SRI RAM JU</t>
  </si>
  <si>
    <t xml:space="preserve">SRI RAM JU UPI/SRI RAM JU/q858363630@ybl/UPI/YES BANK L/659600055610/ICI03f14e6aab464dabb027b5b7c 9fb3ddf/ Mr KARTHIK</t>
  </si>
  <si>
    <t xml:space="preserve">Mr KARTHIK UPI/Mr KARTHIK/paytm.s1ykans@/UPI/YES BANK P/659631643340/ICI32994993c931496786f495e94 c4e179f/ DHANALAKSH</t>
  </si>
  <si>
    <t xml:space="preserve">DHANALAKSH UPI/DHANALAKSH/upi. 9600606293/dhanalaksh/South Indi/659617259066/ICI39fc7dfc2561491687a44cea 7ffd5510 C P Maruth</t>
  </si>
  <si>
    <t xml:space="preserve">Yes - Dhanalakshmi Poondu (garlic supplier)</t>
  </si>
  <si>
    <t xml:space="preserve">C P Maruth UPI/C P Maruth/paytmqr6lt9et@/UPI/YES BANK L/659616855105/ICI7008009db42641ea90ae0f3a6 e15ed4f/ Noor Hasan</t>
  </si>
  <si>
    <t xml:space="preserve">Noor Hasan UPI/Noor Hasan/paytm.s1ll34j@/UPI/YES BANK P/659603376199/ICIfa0d870202f1437d83ef563fd2 672f54/ R RAMESH</t>
  </si>
  <si>
    <t xml:space="preserve">R RAMESH UPI/R RAMESH/bharatpe9o0j7j/Pay to Bha/YesBank_Ye/659611776890/ICI50761ed6211a 4e3893e6aac7f24aad32/ Google Ind</t>
  </si>
  <si>
    <t xml:space="preserve">Google Ind UPI/Google Ind/gpayrecharge@o/UPI/AXIS BANK/659640181080/ICI1bfc244433834465af352d ffc91ee3e2/ KRISHNAA M</t>
  </si>
  <si>
    <t xml:space="preserve">KRISHNAA M UPI/KRISHNAA M/krishnaamedica/UPI/State Bank/659642487433/ICIfb459a44f3314e13b30b15 0ec08a3c3e/ govindaraj</t>
  </si>
  <si>
    <t xml:space="preserve">govindaraj UPI/govindaraj/govindarajrang/UPI/TAMILNAD M/659649896563/ICI237e35c778d747d9a6568bc6 0f0c8597/ PhonePe Limited</t>
  </si>
  <si>
    <t xml:space="preserve">UPI-AKJ TRADERS-NASSARAKJ786@OKAXIS-UTIB 0000477-128155993315-UPI</t>
  </si>
  <si>
    <t xml:space="preserve">UPI-DRMANOHARAN HOSPITA-VYAPAR.17569287 9512@HDFCBANK-HDFC0MERUPI-128158350020-U HDFCBANKLIMITED *Closingbalanceincludesfundsearmarkedforholdandunclearedfunds Contentsofthisstatementwillbeconsideredcorrectifnoerrorisreportedwithin30daysofreceiptofstatement.TheaddressonthisstatementisthatonrecordwiththeBankasatthedayofrequesting thisstatement. StateaccountbranchGSTN:33AAACH2702H1Z7 HDFCBankGSTINnumberdetailsareavailableathttps://www.hdfcbank.com/personal/making-payments/online-tax-payment/goods-and-service-tax. RegisteredOfficeAddress:HDFCBankHouse,SenapatiBapatMarg,LowerParel,Mumbai400013</t>
  </si>
  <si>
    <t xml:space="preserve">UPI-DRMANOHARAN HOSPITA-VYAPAR.17569287 9512@HDFCBANK-HDFC0MERUPI-128162930699-U PI</t>
  </si>
  <si>
    <t xml:space="preserve">PhonePe Limited NEFT-YESAP62315472837-PhonePe Limited-F09 M22UYYZ10YB2URED-002261100000025- YESB0000001 Mr KARTHIK</t>
  </si>
  <si>
    <t xml:space="preserve">Mr KARTHIK UPI/Mr KARTHIK/paytm.s1ykans@/UPI/YES BANK P/623188941137/ICI8470976343014bdcb990e48c6 291719b/ www.icici.bank.in Dial your Bank 1800-1080 Please call from your registered mobile number for faster access Never share your OTP, CVV or passwords with anyone, even if the person claims to be a Bank employee.</t>
  </si>
  <si>
    <t xml:space="preserve">NEW ANNAPO UPI/NEW ANNAPO/q132905451@ybl/UPI/YES BANK L/623108647074/ICI3b111b08cdea4e658a6f5bd0ff df9827/ SUFEENA P</t>
  </si>
  <si>
    <t xml:space="preserve">SUFEENA P UPI/SUFEENA P/7025713257@axl/cash/CANARA BAN/623168765193/ICI0722f09f09b04f7782d8536 1ecbec1d1/ DHANALAKSH</t>
  </si>
  <si>
    <t xml:space="preserve">DHANALAKSH UPI/DHANALAKSH/upi.9600606293/UPI/South Indi/623193850173/ICI48c08016e01f40dbb2c0eecc 95b0c7d2/ PhonePe Limited</t>
  </si>
  <si>
    <t xml:space="preserve">UPI-DRMANOHARAN HOSPITA-VYAPAR.17569287 9512@HDFCBANK-HDFC0MERUPI-128197066192-U PI</t>
  </si>
  <si>
    <t xml:space="preserve">UPI-MR KARTHIKEYAN R-PAYTM.S1YKANS@PTY -YESB0MCHUPI-128197638928-UPI</t>
  </si>
  <si>
    <t xml:space="preserve">UPI-DRMANOHARAN HOSPITA-VYAPAR.17569287 9512@HDFCBANK-HDFC0MERUPI-128208050722-U PI</t>
  </si>
  <si>
    <t xml:space="preserve">UPI-MRUDHAYAKUMAR G-UDHAYKUMAR1022@OKS BI-CIUB0000129-128209015091-GAS</t>
  </si>
  <si>
    <t xml:space="preserve">UPI-HOTELCHEAPANDBEST-PAYTM.D71037727 @PTY-YESB0MCHUPI-128216271425-UPI</t>
  </si>
  <si>
    <t xml:space="preserve">PhonePe Limited NEFT-YESAP62325422583-PhonePe Limited-F09 M22UYYZ10YB2URED-002261100000025- YESB0000001 PhonePe Limited</t>
  </si>
  <si>
    <t xml:space="preserve">UPI-PONMANIGNANABAI J-PAYTM.S2VVZGI@PTY -YESB0MCHUPI-128249950190-UPI</t>
  </si>
  <si>
    <t xml:space="preserve">UPI-MRSSARITHAVENI R-KAVYAMURALI81488 @OKICICI-CBIN0281418-623379651571-UPI</t>
  </si>
  <si>
    <t xml:space="preserve">UPI-AKJ TRADERS-Q867462875@YBL-YESB0YBLU PI-128282100780-GINGER</t>
  </si>
  <si>
    <t xml:space="preserve">UPI-SHANKAR T-SHANKARPARAMU1993@OKICICI HDFCBANKLIMITED *Closingbalanceincludesfundsearmarkedforholdandunclearedfunds Contentsofthisstatementwillbeconsideredcorrectifnoerrorisreportedwithin30daysofreceiptofstatement.TheaddressonthisstatementisthatonrecordwiththeBankasatthedayofrequesting thisstatement. StateaccountbranchGSTN:33AAACH2702H1Z7 HDFCBankGSTINnumberdetailsareavailableathttps://www.hdfcbank.com/personal/making-payments/online-tax-payment/goods-and-service-tax. RegisteredOfficeAddress:HDFCBankHouse,SenapatiBapatMarg,LowerParel,Mumbai400013</t>
  </si>
  <si>
    <t xml:space="preserve">PhonePe Limited NEFT-YESAP62335600589-PhonePe Limited-F09 M22UYYZ10YB2URED-002261100000025- YESB0000001 PhonePe Limited</t>
  </si>
  <si>
    <t xml:space="preserve">PhonePe Limited NEFT-YESAP62344868608-PhonePe Limited-F09 M22UYYZ10YB2URED-002261100000025- YESB0000001 DHANALAKSH</t>
  </si>
  <si>
    <t xml:space="preserve">DHANALAKSH UPI/DHANALAKSH/upi.9600606293/garlic/South Indi/623415971318/ICIe889ad3c909d4149b759c87 7b8ce662a NEW ANNAPO</t>
  </si>
  <si>
    <t xml:space="preserve">NEW ANNAPO UPI/NEW ANNAPO/q132905451@ybl/UPI/YES BANK L/623444458468/ICIf74cbbdf24f149bfb3ec106615 52f88c NEW ANNAPO</t>
  </si>
  <si>
    <t xml:space="preserve">NEW ANNAPO UPI/NEW ANNAPO/q132905451@ybl/UPI/YES BANK L/623460194098/ICI3d0265afe90440818d35d1412 e3659eb shankarpar</t>
  </si>
  <si>
    <t xml:space="preserve">UPI-PPRABHU PALANISWAMY-PRABHUPALANISAM Y2013@OKICICI-ICIC0001367-623503225308-U PI</t>
  </si>
  <si>
    <t xml:space="preserve">shankarpar UPI/shankarpar/shankarparamu1/UPI/State Bank/660145146957/ICIa9442b8c690a4fcb81287fe 4b0d4bf5f DHANALAKSH</t>
  </si>
  <si>
    <t xml:space="preserve">UPI-DHANALAKSHMIPOONDU -UPI.9600606293@ SIB-SIBL0000019-128410444809-UPI</t>
  </si>
  <si>
    <t xml:space="preserve">UPI-DHANALAKSHMIPOONDU -UPI.9600606293@ SIB-SIBL0000019-128410913354-UPI</t>
  </si>
  <si>
    <t xml:space="preserve">APBSC-BPCLLPGSUBSIDY-P0826044EF85F</t>
  </si>
  <si>
    <t xml:space="preserve">DHANALAKSH UPI/DHANALAKSH/upi.9600606293/UPI/South Indi/623620846389/ICIfced354d6da0431c916c807 81812aee9 Pandi</t>
  </si>
  <si>
    <t xml:space="preserve">UPI-SAMVEGETABLES-9842619499-2@YBL-SIBL 0000019-378876841665-PAYMENTFROMPHONE</t>
  </si>
  <si>
    <t xml:space="preserve">UPI-SAMVEGETABLES-9842619499-2@YBL-SIBL 0000019-704200281429-PAYMENTFROMPHONE</t>
  </si>
  <si>
    <t xml:space="preserve">UPI-AROMABAKERY NRS-Q318439692@YBL-YES B0YBLUPI-128585920403-UPI</t>
  </si>
  <si>
    <t xml:space="preserve">UPI-SAMVEGETABLES-9842619499-2@YBL-SIBL 0000019-003011569542-PAYMENTFROMPHONE</t>
  </si>
  <si>
    <t xml:space="preserve">UPI-SAMVEGETABLES-9842619499-2@YBL-SIBL 0000019-643874416570-PAYMENTFROMPHONE</t>
  </si>
  <si>
    <t xml:space="preserve">Pandi UPI/Pandi/paytm.s1u024v@/UPI/YES BANK P/660674332337/ICI6a771d3de0094440b81165d2 ac3b564e TNS TRADER</t>
  </si>
  <si>
    <t xml:space="preserve">UPI-SAMVEGETABLES-9842619499-2@YBL-SIBL 0000019-455702961516-PAYMENTFROMPHONE</t>
  </si>
  <si>
    <t xml:space="preserve">TNS TRADER UPI/TNS TRADER/8148538351.1@h/UPI Send M/HDFC BANK/624318514482/HDFCMBUPI01M1C74CZT3D W1A1C63V00BCJZ www.icici.bank.in Dial your Bank 1800-1080 Please call from your registered mobile number for faster access Never share your OTP, CVV or passwords with anyone, even if the person claims to be a Bank employee.</t>
  </si>
  <si>
    <t xml:space="preserve">TNS Traders (HDFC 7278) — All Transactions</t>
  </si>
  <si>
    <t xml:space="preserve">Extracted programmatically from the bank-provided PDF statement. Verified: sum of Withdrawal/Deposit columns matches the statement's own summary totals exactly.</t>
  </si>
  <si>
    <t xml:space="preserve">Balance (₹)</t>
  </si>
  <si>
    <t xml:space="preserve">FT-CR-50100072796393-NAGARAJANT</t>
  </si>
  <si>
    <t xml:space="preserve">UPISETTLEMENT-KES170-11/08/26</t>
  </si>
  <si>
    <t xml:space="preserve">UPISETTLEMENT-KES170-15/08/26</t>
  </si>
  <si>
    <t xml:space="preserve">UPISETTLEMENT-KES170-16/08/26</t>
  </si>
  <si>
    <t xml:space="preserve">UPISETTLEMENT-KES170-17/08/26</t>
  </si>
  <si>
    <t xml:space="preserve">UPISETTLEMENT-KES170-18/08/26</t>
  </si>
  <si>
    <t xml:space="preserve">UPISETTLEMENT-KES170-19/08/26</t>
  </si>
  <si>
    <t xml:space="preserve">UPI-6897690963-DIVINESTARK111-2@OKICICI- 623436673528-UPI</t>
  </si>
  <si>
    <t xml:space="preserve">UPI-916010046088863-SUREGARAJENDREN19@OK AXIS-623482505878-GARLIC</t>
  </si>
  <si>
    <t xml:space="preserve">UPI-420150050800546-JAYATHANAM381@OKHDFC BANK-128302479729-UPI</t>
  </si>
  <si>
    <t xml:space="preserve">UPI-201021214733-9444203807@SUPERYES-623 420165407-PAIDVIASUPERMONEYUPI</t>
  </si>
  <si>
    <t xml:space="preserve">UPI-571910110004008-R.SHANMUKARAJA456-1@ OKHDFCBANK-128302805488-UPI</t>
  </si>
  <si>
    <t xml:space="preserve">UPISETTLEMENT-KES170-22/08/26</t>
  </si>
  <si>
    <t xml:space="preserve">UPI-00000040295731070-NAGA70524@OKSBI-62 3493771564-UPI</t>
  </si>
  <si>
    <t xml:space="preserve">UPI-1141104000083119-DHARANIESHD0703-4@O KHDFCBANK-128307876516-UPI</t>
  </si>
  <si>
    <t xml:space="preserve">UPI-1253155000068298-9047939990@AXL-1808 15882082-PAYMENTFROMPHONEPE</t>
  </si>
  <si>
    <t xml:space="preserve">UPI-00000010869183582-RAMANATHAN0360@OKS BI-623404131727-UPI</t>
  </si>
  <si>
    <t xml:space="preserve">UPI-00000034860032939-MANOCE99@OKSBI-623 406804138-UPI</t>
  </si>
  <si>
    <t xml:space="preserve">UPI-1940022000000025-SELVAMMAHA22-4@OKHD FCBANK-128316565861-UPI HDFCBANKLIMITED *Closingbalanceincludesfundsearmarkedforholdandunclearedfunds Contentsofthisstatementwillbeconsider</t>
  </si>
  <si>
    <t xml:space="preserve">UPI-17090100034406-6380793575@SUPERYES-6 23424197683-PAIDVIASUPERMONEYUPI</t>
  </si>
  <si>
    <t xml:space="preserve">UPI-00000010070878320-SUBUBLOOM1965@OKHD FCBANK-128317736153-UPI</t>
  </si>
  <si>
    <t xml:space="preserve">UPI-189801506310-9791777870@PTYES-312996 944668-SENTUSINGPAYTMUPI</t>
  </si>
  <si>
    <t xml:space="preserve">UPI-821510110004983-RAMACHANDRA9088@OKIC ICI-660014200745-UPI</t>
  </si>
  <si>
    <t xml:space="preserve">UPI-00000010840909683-DEEPAD1987@OKSBI-6 23416006598-UPI</t>
  </si>
  <si>
    <t xml:space="preserve">UPI-65300300006530034091314695-875445223 3@YBL-840580068875-PAYMENTFROMPHONEPE</t>
  </si>
  <si>
    <t xml:space="preserve">UPI-652868000000124087656412511800-81248 15035-1@YESCRED-660003708480-INGIANDPO ONDU</t>
  </si>
  <si>
    <t xml:space="preserve">UPI-00000020523430236-GANGADEVI21390-1@O KSBI-623417989345-UPI</t>
  </si>
  <si>
    <t xml:space="preserve">UPI-3036101506600-VIJAYALAKSHMIRAMATHAL8 1-1@OKHDFCBANK-128328191382-UPI</t>
  </si>
  <si>
    <t xml:space="preserve">UPI-0201053000021097-9842096543@PTAXIS-6 23402203742-SENTUSINGPAYTMUPI</t>
  </si>
  <si>
    <t xml:space="preserve">UPI-520101059488952-KAVI9336221@OKAXIS-6 23407266234-UPI</t>
  </si>
  <si>
    <t xml:space="preserve">UPI-50100505136039-JEENA.HDFC@AXL-331394 407018-PAYMENTFROMPHONEPE</t>
  </si>
  <si>
    <t xml:space="preserve">UPI-61222010016954-6385021343@YBL-614628 088035-PAYMENTFROMPHONEPE</t>
  </si>
  <si>
    <t xml:space="preserve">UPI-65290200006529025850222403-852172920 9-4@AXL-487378955145-PAYMENTFROM PHONEP E</t>
  </si>
  <si>
    <t xml:space="preserve">UPI-00000020426198486-9750101100@PTSBI-6 HDFCBANKLIMITED *Closingbalanceincludesfundsearmarkedforholdandunclearedfunds Contentsofthisstatementwillbeconsideredcorrectifnoerrorisrepo</t>
  </si>
  <si>
    <t xml:space="preserve">UPI-916010012969202-KATHIRVEL.M29-1@OKAX IS-623412693701-UPI</t>
  </si>
  <si>
    <t xml:space="preserve">UPI-0282053000012665-FREDRICBOSS-2@OKAXI S-660109509261-UPI</t>
  </si>
  <si>
    <t xml:space="preserve">UPI-147001000012999-JANARTHANANMGR-1@OKA XIS-660118503728-UPI</t>
  </si>
  <si>
    <t xml:space="preserve">UPI-3036118004013-ASWANANDINI1981@OKAXIS -660198410181-UPI</t>
  </si>
  <si>
    <t xml:space="preserve">UPI-003301004587-9042059595@PTYES-313058 084829-SENTUSINGPAYTMUPI</t>
  </si>
  <si>
    <t xml:space="preserve">UPI-0662053000007294-7397519108@AXL-3184 64480996-PAYMENTFROMPHONEPE</t>
  </si>
  <si>
    <t xml:space="preserve">UPI-110089025449-SSENTHILKUMAR302-1@OKHD FCBANK-128366693386-UPI</t>
  </si>
  <si>
    <t xml:space="preserve">UPI-093101000023804-6381075482@PTYES-313 060872356-SENTUSINGPAYTMUPI</t>
  </si>
  <si>
    <t xml:space="preserve">UPI-00000067322636501-RAMESHM98904@OKSBI -623560912031-UPI</t>
  </si>
  <si>
    <t xml:space="preserve">UPI-50100209617947-8190858383@YESCRED-66 0120861867-PAIDVIACRED</t>
  </si>
  <si>
    <t xml:space="preserve">UPI-1238101040692-JESSIEJESSIE4447@OKAXI S-660183037666-UPI</t>
  </si>
  <si>
    <t xml:space="preserve">UPI-1778135000005236-8270088192@PTYES-31 3066675898-SENTUSINGPAYTMUPI</t>
  </si>
  <si>
    <t xml:space="preserve">UPI-1248101559881-9944605467-2@YBL-43257 7712207-PAYMENTFROMPHONEPE</t>
  </si>
  <si>
    <t xml:space="preserve">UPI-100001171029-8680818187@SUPERYES-623 539522284-PAIDVIASUPERMONEYUPI</t>
  </si>
  <si>
    <t xml:space="preserve">UPI-920010017286147-9789447254@AXL-68654 1553144-PAYMENTFROMPHONEPE</t>
  </si>
  <si>
    <t xml:space="preserve">UPI-00000003690208035-VICHUSUMESH16@OKHD HDFCBANKLIMITED *Closingbalanceincludesfundsearmarkedforholdandunclearedfunds Contentsofthisstatementwillbeconsideredcorrectifnoerrorisrepo</t>
  </si>
  <si>
    <t xml:space="preserve">UPI-520101080936276-DURAIKOUSI6@OKAXIS-6 23672309404-UPI</t>
  </si>
  <si>
    <t xml:space="preserve">UPI-110155712765-GKBRIDALDEEPA@OKHDFCBAN K-128415951165-UPI</t>
  </si>
  <si>
    <t xml:space="preserve">UPI-803210110005759-BUVANA.G2015-1@OKAXI S-623677711414-UPI</t>
  </si>
  <si>
    <t xml:space="preserve">UPI-170001000006229-NEELAVENI2204S@OKICI CI-623695066633-UPI</t>
  </si>
  <si>
    <t xml:space="preserve">UPI-MRSHEMALATHA G-HEMAJANANIMSC-1@OKIC ICI-IDIB000R023-623659530405-UPI</t>
  </si>
  <si>
    <t xml:space="preserve">UPI-AROMABAKERY NRS-Q318439692@YBL-YES B0YBLUPI-623650876912-UPISENDMONEY</t>
  </si>
  <si>
    <t xml:space="preserve">UPI-115237828006-SAGEEB4U@OKHDFCBANK-128 426350581-UPI</t>
  </si>
  <si>
    <t xml:space="preserve">UPI-VINOTHA KANNAIYAN-PAYTM.S2SMF3E@PTY- YESB0MCHUPI-128427188737-UPI</t>
  </si>
  <si>
    <t xml:space="preserve">UPI-BOOMIRAJ T-BOOMI10MSP@OKICICI-SBIN0 016317-623600134363-UPI</t>
  </si>
  <si>
    <t xml:space="preserve">UPI-053401000035032-7540042931@YBL-95610 9853560-PAYMENTFROMPHONEPE</t>
  </si>
  <si>
    <t xml:space="preserve">UPI-1232101071071-SELLAPPANPALANISWAMI19 51@OKICICI-623669564220-UPI</t>
  </si>
  <si>
    <t xml:space="preserve">UPI-00000067230099420-AMANULLA7217@OKSBI -623647241010-UPI</t>
  </si>
  <si>
    <t xml:space="preserve">UPI-865987263-MAILME.RUBYV-3@OKICICI-623 672877153-UPI</t>
  </si>
  <si>
    <t xml:space="preserve">UPI-65301800000021147648-9361823460@PTYE S-214002238410-SENTUSINGPAYTMUPI HDFCBANKLIMITED *Closingbalanceincludesfundsearmarkedforholdandunclearedfunds Contentsofthisstatementwillb</t>
  </si>
  <si>
    <t xml:space="preserve">UPI-00000039069626292-BALAKRISHNANKISHOR E1984-1@OKICICI-623659894785-UPI</t>
  </si>
  <si>
    <t xml:space="preserve">UPI-61542250010328-BRINDHAPAVAL85@OKAXIS -623618858820-UPI</t>
  </si>
  <si>
    <t xml:space="preserve">UPI-820610110017417-SURENDRANSHANMUGAM2@ OKAXIS-623642680516-UPI</t>
  </si>
  <si>
    <t xml:space="preserve">UPI-6818980282-GRANGARAJ11@OKAXIS-623696 873176-UPI</t>
  </si>
  <si>
    <t xml:space="preserve">UPI-00000030584912598-SHERIFFKMS-1@OKSBI -623767881819-GINGER</t>
  </si>
  <si>
    <t xml:space="preserve">UPI-SUGANYA A-PAYTM.S225QIV@PTY-YESB0MCH UPI-128464594652-UPI</t>
  </si>
  <si>
    <t xml:space="preserve">UPI-3556108000222-PMKAVI1989-3@OKHDFCBAN K-128469493990-UPI</t>
  </si>
  <si>
    <t xml:space="preserve">UPI-7473342015-BHAVYAS.2207-2@OKHDFCBANK -128469741040-UPI</t>
  </si>
  <si>
    <t xml:space="preserve">UPI-00000037900981145-SANTHANAKUMAR67881 @OKSBI-623778097426-UPI</t>
  </si>
  <si>
    <t xml:space="preserve">UPI-041901000117659-9994477574@YESCRED-6 60321163502-PAIDVIACRED</t>
  </si>
  <si>
    <t xml:space="preserve">UPI-75280100006202-VASANTHIARUL9496-2@OK AXIS-660376725788-UPI</t>
  </si>
  <si>
    <t xml:space="preserve">UPI-JAGADESHT M-JAGADESHTM155@OKAXIS-KV BL0001739-660313230153-UPI</t>
  </si>
  <si>
    <t xml:space="preserve">UPI-53220004822812-BALAKRISHNANSASI1971- 5@OKICICI-660364929826-UPI</t>
  </si>
  <si>
    <t xml:space="preserve">UPI-1326119002962-SUJATHAD945@OKAXIS-660 385707811-UPI</t>
  </si>
  <si>
    <t xml:space="preserve">UPI-824810110000271-MONICAIRUDHAYARAJ-1@ OKAXIS-660397529801-UPI HDFCBANKLIMITED *Closingbalanceincludesfundsearmarkedforholdandunclearedfunds Contentsofthisstatementwillbeconsider</t>
  </si>
  <si>
    <t xml:space="preserve">UPI-397100050302302-9962729232@YBL-00771 7696007-PAYMENTFROMPHONEPE</t>
  </si>
  <si>
    <t xml:space="preserve">UPI-7344107748-SHANTHOSHVIJAY87@OKICICI- 660378530398-UPI</t>
  </si>
  <si>
    <t xml:space="preserve">UPI-710081007-ARUMUGAMGOLD26-2@OKHDFCBAN K-128481042130-UPI</t>
  </si>
  <si>
    <t xml:space="preserve">UPI-447640227-RBALUVPM2710-1@OKICICI-660 327131501-UPI</t>
  </si>
  <si>
    <t xml:space="preserve">UPI-6039101003516-9384782639@AXL-9600285 94098-PAYMENTFROMPHONEPE</t>
  </si>
  <si>
    <t xml:space="preserve">UPI-1120177000002206-YOUVANKRISHREKHA88@ OKHDFCBANK-128482259275-UPI</t>
  </si>
  <si>
    <t xml:space="preserve">UPI-018601000070641-8056388399@AXL-94971 2051843-PAYMENTFROMPHONEPE</t>
  </si>
  <si>
    <t xml:space="preserve">UPI-00000020067674826-KRKTEX@OKSBI-62379 2218412-UPI</t>
  </si>
  <si>
    <t xml:space="preserve">UPI-059100050316464-9751479234@SUPERYES- 623769567371-PAIDVIASUPERMONEYUPI</t>
  </si>
  <si>
    <t xml:space="preserve">36882960RUPAYMDRRCVRY-25/08/26</t>
  </si>
  <si>
    <t xml:space="preserve">UPI-99980114521110-SATISHEPYO@OKAXIS-660 317564827-T</t>
  </si>
  <si>
    <t xml:space="preserve">UPI-00000032794353578-KALMADAM.SREEKUTTY @OKSBI-623702554194-UPI</t>
  </si>
  <si>
    <t xml:space="preserve">UPI-65290200006529025003321920-SUDHAJAY3 5-4@OKAXIS-660374251965-UPI</t>
  </si>
  <si>
    <t xml:space="preserve">UPI-6383504007-KARIBILLAMONDAL805@OKHDFC BANK-128497638886-UPI</t>
  </si>
  <si>
    <t xml:space="preserve">UPI-7263311176-SRIRAMTAD-2@OKAXIS-660387 874181-UPI</t>
  </si>
  <si>
    <t xml:space="preserve">UPI-00000030011053424-PREETHI2614-1@OKSB I-623712878670-UPI</t>
  </si>
  <si>
    <t xml:space="preserve">UPI-65300300006530034091811500-STARJAHIR HDFCBANKLIMITED *Closingbalanceincludesfundsearmarkedforholdandunclearedfunds Contentsofthisstatementwillbeconsideredcorrectifnoerrorisrepo</t>
  </si>
  <si>
    <t xml:space="preserve">UPI-0019053000032229-YASMINBEGUM23487@OK ICICI-660369555538-UPI</t>
  </si>
  <si>
    <t xml:space="preserve">UPI-00000032112439943-NOBELRAJUSHA@OKSBI -623717824726-UPI</t>
  </si>
  <si>
    <t xml:space="preserve">UPI-22100005733703-9585024171-2@AXL-6797 55010810-PAYMENTFROMPHONEPE</t>
  </si>
  <si>
    <t xml:space="preserve">UPI-50200112740799-SANMASS8888-4@OKHDFCB ANK-128518493593-UPI</t>
  </si>
  <si>
    <t xml:space="preserve">UPI-EURONETSERVICES IND-GPAYRECHARGE2@O KPAYAXIS-UTIB0000553-623827006661-UPI</t>
  </si>
  <si>
    <t xml:space="preserve">UPI-CPMARUTHACHALAM AN-PAYTMQR6LT9ES@P TYS-YESB0PTMUPI-128520610145-UPI</t>
  </si>
  <si>
    <t xml:space="preserve">UPI-50231577391-9344234041@YBL-032189995 552-PAYMENTFROMPHONEPE</t>
  </si>
  <si>
    <t xml:space="preserve">UPI-7004073407-VINUSREE189-1@OKAXIS-6238 34222689-UPI</t>
  </si>
  <si>
    <t xml:space="preserve">UPI-DHANALAKSHMIPOONDU -UPI.9600606293@ SIB-SIBL0000019-128529690762-UPI</t>
  </si>
  <si>
    <t xml:space="preserve">UPI-65298900006588631182809692127-CSARJU N17-2@OKHDFCBANK-128532514610-UPI</t>
  </si>
  <si>
    <t xml:space="preserve">36882960RUPAYMDRRCVRY-26/08/26</t>
  </si>
  <si>
    <t xml:space="preserve">UPI-536100050300340-MUTHUKUMARANMUTHUKUM ARAN818-1@OKHDFCBANK-128535850295-MALIGA I</t>
  </si>
  <si>
    <t xml:space="preserve">UPI-185501000000144-RANGARAJAN9151@OKHDF CBANK-128538526569-UPI</t>
  </si>
  <si>
    <t xml:space="preserve">UPI-58460100004378-DSFRUITSVEGETABLES@OK HDFCBANK-128540670922-UPI HDFCBANKLIMITED *Closingbalanceincludesfundsearmarkedforholdandunclearedfunds Contentsofthisstatementwillbeconsid</t>
  </si>
  <si>
    <t xml:space="preserve">UPI-BIGTREE ENTERTAINMEN-BOOKMYSHOW@AXB- UTIB0000100-128541374620-UPI</t>
  </si>
  <si>
    <t xml:space="preserve">UPI-05470100022310-9940860789@PTYES-6129 14286381-SENTUSINGPAYTMUPI</t>
  </si>
  <si>
    <t xml:space="preserve">UPI-DHANUSH S-PAYTM.S1FWUNS@PTY-YESB0MCH UPI-128543836555-UPI</t>
  </si>
  <si>
    <t xml:space="preserve">UPI-510909010236399-FAIZAL031982-1@OKHDF CBANK-128543948410-UPI</t>
  </si>
  <si>
    <t xml:space="preserve">UPI-5550745326-6379921459@PTAXIS-6238778 97512-SENTUSINGPAYTMUPI</t>
  </si>
  <si>
    <t xml:space="preserve">UPI-1392500102547101-RAIYAANSRZ2509@OKSB I-623864065861-UPI</t>
  </si>
  <si>
    <t xml:space="preserve">UPI-916010075608838-SBABUCBE32@OKAXIS-62 3941080575-UPI</t>
  </si>
  <si>
    <t xml:space="preserve">UPI-916010075608838-SBABUCBE32@OKAXIS-62 3953986441-UPI</t>
  </si>
  <si>
    <t xml:space="preserve">UPI-PPRABHU PALANISWAMY-PRABHUPALANISAM Y2013@OKICICI-ICIC0001367-623975068648-U PI</t>
  </si>
  <si>
    <t xml:space="preserve">UPI-309007379400-MOHAMED.ZUNAITH@OKAXIS- 660580811460-UPI</t>
  </si>
  <si>
    <t xml:space="preserve">UPI-335002010003272-GOWRIPRABHAKAR54-2@O KHDFCBANK-128573068079-UPI</t>
  </si>
  <si>
    <t xml:space="preserve">UPI-0019073000005689-9952661940@SIB-1000 22986670-GARLIC</t>
  </si>
  <si>
    <t xml:space="preserve">UPI-911010037331221-8248652791@SUPERYES- 623994028996-PAIDVIASUPERMONEYUPI</t>
  </si>
  <si>
    <t xml:space="preserve">UPI-309801000005543-9842549628@PTYES-214 202255675-SENTUSINGPAYTMUPI HDFCBANKLIMITED *Closingbalanceincludesfundsearmarkedforholdandunclearedfunds Contentsofthisstatementwillbecons</t>
  </si>
  <si>
    <t xml:space="preserve">UPI-P KARTHIKKUMAR-9944506012@IBL-SBIN 0010618-128579244406-SHOPAMT</t>
  </si>
  <si>
    <t xml:space="preserve">UPI-1248101563318-9597321677@SUPERYES-62 3995027675-PAIDVIASUPERMONEYUPI</t>
  </si>
  <si>
    <t xml:space="preserve">UPI-49140100007490-SANDHIYAANBU1603@OKIC ICI-623939682292-UPI</t>
  </si>
  <si>
    <t xml:space="preserve">UPI-65301800000007095392-9842514165@UPI- 145621963588-NOREMARK</t>
  </si>
  <si>
    <t xml:space="preserve">UPI-P KARTHIK KUMAR-KARTHIKADVOCATE7@OK SBI-SBIN0010618-623907512628-TODAY</t>
  </si>
  <si>
    <t xml:space="preserve">UPI-147001000024672-DEVIPRIYANKANATARAJ4 11-2@OKICICI-623942489100-UPI</t>
  </si>
  <si>
    <t xml:space="preserve">UPI-1205101143303-SUNITHAMALATHYBALAN@OK AXIS-660585055600-UPI</t>
  </si>
  <si>
    <t xml:space="preserve">UPI-820518210004232-VISHNUKUMAR1999KRV@O KHDFCBANK-128601739404-UPI</t>
  </si>
  <si>
    <t xml:space="preserve">UPI-00000031703159621-DEVIKAMRT123@OKSBI -623929159749-UPI</t>
  </si>
  <si>
    <t xml:space="preserve">UPI-1326101028071-RANJITHABARANI.28@OKAX IS-660563366729-UPI</t>
  </si>
  <si>
    <t xml:space="preserve">36882960RUPAYMDRRCVRY-27/08/26</t>
  </si>
  <si>
    <t xml:space="preserve">UPI-00000067114124873-9495071757-2@YBL-4 13986850251-PAYMENTFROMPHONEPE</t>
  </si>
  <si>
    <t xml:space="preserve">UPI-1253155000068298-M.SFAMILYMUTHU@OKAX IS-624078815436-UPI</t>
  </si>
  <si>
    <t xml:space="preserve">UPI-7135796949-THARANIADAH@OKAXIS-624068 707482-UPI</t>
  </si>
  <si>
    <t xml:space="preserve">UPI-8903000100006937-RAJAPRIYAN945@OKHDF CBANK-128632849280-UPI</t>
  </si>
  <si>
    <t xml:space="preserve">UPI-SHANKAR T-SHANKARPARAMU1993@OKICICI HDFCBANKLIMITED *Closingbalanceincludesfundsearmarkedforholdandunclearedfunds Contentsofthisstatementwillbeconsideredcorrectifnoerrorisrepor</t>
  </si>
  <si>
    <t xml:space="preserve">UPI-548902010014173-HONEYFRND1978@OKHDFC BANK-128642251380-UPI</t>
  </si>
  <si>
    <t xml:space="preserve">UPI-608128422-SUPERAMANIAMDEVENDRA-1@OKI CICI-660691479815-UPI</t>
  </si>
  <si>
    <t xml:space="preserve">UPI-00000040264883611-BOOMIVBOOMINATHAN@ OKSBI-624075324549-UPI</t>
  </si>
  <si>
    <t xml:space="preserve">UPI-00000040264883611-BOOMIVBOOMINATHAN@ OKSBI-624075393117-UPI</t>
  </si>
  <si>
    <t xml:space="preserve">UPI-7504242109-SHYSUHAIL@OKHDFCBANK-1286 48559929-UPI</t>
  </si>
  <si>
    <t xml:space="preserve">UPI-00000030497765517-9842575466@YBL-790 588557071-PAYMENTFROMPHONEPE</t>
  </si>
  <si>
    <t xml:space="preserve">REV-UPI-50200120147278-TNAGARAJ590-2@OKH DFCBANK-128652028869-UPI</t>
  </si>
  <si>
    <t xml:space="preserve">UPI-AKJ TRADERS-NASSARAKJ786@OKAXIS-UTIB 0000477-128652028869-UPI</t>
  </si>
  <si>
    <t xml:space="preserve">UPI-615201528155-9789623936@PTYES-214312 488494-SENTUSINGPAYTMUPI</t>
  </si>
  <si>
    <t xml:space="preserve">UPI-1034119001717-SELVARAJR4647-1@OKAXIS -624096756702-UPI</t>
  </si>
  <si>
    <t xml:space="preserve">UPI-041901000114820-DEEPTHIMITHRAN2019@O KHDFCBANK-128653968355-UPI</t>
  </si>
  <si>
    <t xml:space="preserve">UPI-SYEDMUSTHAFA M-SYMUS167-1@OKHDFCBANK -ICIC0000607-128659231533-FRIDGE</t>
  </si>
  <si>
    <t xml:space="preserve">UPI-1706155000005317-GREESWAREN9788@OKHD FCBANK-128661485343-UPI</t>
  </si>
  <si>
    <t xml:space="preserve">36882960RUPAYMDRRCVRY-28/08/26</t>
  </si>
  <si>
    <t xml:space="preserve">UPI-SENTHILNATHAN S-SSN134@OKSBI-SBIN00 15704-624199336132-UPI HDFCBANKLIMITED *Closingbalanceincludesfundsearmarkedforholdandunclearedfunds Contentsofthisstatementwillbeconsidered</t>
  </si>
  <si>
    <t xml:space="preserve">UPI-DHANALAKSHMIPOONDU -UPI.9600606293@ SIB-SIBL0000019-128670673537-UPI</t>
  </si>
  <si>
    <t xml:space="preserve">UPI-1120155000064605-9677622171@YBL-5081 81706312-PAYMENTFROMPHONEPE</t>
  </si>
  <si>
    <t xml:space="preserve">UPI-605301211213-VIGNESH06AC143-1@OKICIC I-624183512858-UPI</t>
  </si>
  <si>
    <t xml:space="preserve">UPI-506100050300074-9003891807@PTYES-313 478219983-SENTUSINGPAYTMUPI</t>
  </si>
  <si>
    <t xml:space="preserve">UPI-KHURSHIDANSARI-9670027079-2@YBL-UTI B0005317-128683746361-UPI</t>
  </si>
  <si>
    <t xml:space="preserve">UPI-00000032703619888-9095304807@YESCRED -660708798213-PAIDVIACRED</t>
  </si>
  <si>
    <t xml:space="preserve">UPI-1186155000126594-SANTHOSH.MMBA@OKHDF CBANK-128686233483-UPI</t>
  </si>
  <si>
    <t xml:space="preserve">UPI-170001000006229-NEELAVENI2204S@OKICI CI-624144652516-UPI</t>
  </si>
  <si>
    <t xml:space="preserve">UPI-00000032703619888-9095304807@YESCRED -660702806523-PAIDVIACRED</t>
  </si>
  <si>
    <t xml:space="preserve">UPI-00000036465213061-GANESSN178@OKAXIS- 660750727458-UPI</t>
  </si>
  <si>
    <t xml:space="preserve">UPI-615201524600-SUHITAENTERPRISES@OKAXI S-660762431703-UPI</t>
  </si>
  <si>
    <t xml:space="preserve">UPI-00000020402486200-9171691389@PTYES-2 14367131253-SENTUSINGPAYTMUPI</t>
  </si>
  <si>
    <t xml:space="preserve">UPI-039307586740190001-SARTHAJ1973-1@OKI CICI-624186234930-UPI</t>
  </si>
  <si>
    <t xml:space="preserve">UPI-420150050800546-JAYATHANAM381@OKHDFC BANK-128691481381-UPI</t>
  </si>
  <si>
    <t xml:space="preserve">UPI-608128422-SUPERAMANIAMDEVENDRA-1@OKI CICI-624129449393-UPI</t>
  </si>
  <si>
    <t xml:space="preserve">UPI-DHANALAKSHMIPOONDU HDFCBANKLIMITED *Closingbalanceincludesfundsearmarkedforholdandunclearedfunds Contentsofthisstatementwillbeconsideredcorrectifnoerrorisreportedwithin30daysof</t>
  </si>
  <si>
    <t xml:space="preserve">UPI-00000020002399207-KENNEDYSATHANANTHA @OKSBI-624132525097-UPI</t>
  </si>
  <si>
    <t xml:space="preserve">UPI-50100477788528-KROHINICA@OKHDFCBANK- 128698628573-GARLIC</t>
  </si>
  <si>
    <t xml:space="preserve">UPI-50100477788528-KROHINICA@OKHDFCBANK- 128699681120-GROCERY</t>
  </si>
  <si>
    <t xml:space="preserve">UPI-00000043989456425-ANJALISANKAR2019-1 @OKSBI-624135125723-UPI</t>
  </si>
  <si>
    <t xml:space="preserve">UPI-00000031171732880-ANITHAA0405@OKSBI- 624137080219-UPI</t>
  </si>
  <si>
    <t xml:space="preserve">UPI-50100766090525-7200446726@SUPERYES-6 60727693345-PAIDVIASUPERMONEYUPI</t>
  </si>
  <si>
    <t xml:space="preserve">UPI-015001000008974-LAKSHMIJAYA175-1@OKI CICI-624161462812-UPI</t>
  </si>
  <si>
    <t xml:space="preserve">UPI-00000020156839302-MADHANKMECH2@OKHDF CBANK-128707230541-GARLICGINGER</t>
  </si>
  <si>
    <t xml:space="preserve">UPI-001601013066-PONNUDURAISJ@OKICICI-62 4111677790-GINGER</t>
  </si>
  <si>
    <t xml:space="preserve">UPI-820110510001618-VAIGIAJOHNJOHN@OKAXI S-660767654794-UPI</t>
  </si>
  <si>
    <t xml:space="preserve">UPI-918010025848226-7608956097@AXL-88159 3137737-PAYMENTFROMPHONEPE</t>
  </si>
  <si>
    <t xml:space="preserve">UPI-480940728-GZMIKEY119@OKAXIS-66080248 0442-UPI</t>
  </si>
  <si>
    <t xml:space="preserve">UPI-7013047770-PERUMALRAMACHANDRAN254@OK ICICI-660866805676-UPI</t>
  </si>
  <si>
    <t xml:space="preserve">UPI-5374101002901-NAGARAJNPKS60@OKICICI- 624242893906-UPI</t>
  </si>
  <si>
    <t xml:space="preserve">UPI-1218101034498-ARULSRI006-1@OKHDFCBAN K-128726110185-UPI HDFCBANKLIMITED *Closingbalanceincludesfundsearmarkedforholdandunclearedfunds Contentsofthisstatementwillbeconsideredcor</t>
  </si>
  <si>
    <t xml:space="preserve">UPI-00000067302411310-NIRMALAVIJI659@OKI CICI-660845615866-UPI</t>
  </si>
  <si>
    <t xml:space="preserve">UPI-7504242109-SHYSUHAIL@OKSBI-624267234 857-UPI</t>
  </si>
  <si>
    <t xml:space="preserve">UPI-BADMAVATHI P-KAVIBHAVANA381@OKAXIS-C NRB0000033-660880797108-UPI</t>
  </si>
  <si>
    <t xml:space="preserve">UPI-653097270080117698264033490038-95979 67482@SLC-624257626631-PAYMENTFROMSLIC E</t>
  </si>
  <si>
    <t xml:space="preserve">UPI-185501000004591-SUMAN.POSH@OKICICI-6 24285594053-UPI</t>
  </si>
  <si>
    <t xml:space="preserve">UPI-MEENATCHI AGENCIES-PAYTM-77010834@PT YS-YESB0PTMUPI-128732204870-UPI</t>
  </si>
  <si>
    <t xml:space="preserve">UPI-8350366951-9994057511@KOTAKBANK-6608 06552246-UPI</t>
  </si>
  <si>
    <t xml:space="preserve">UPI-356142000072280282864069640298-PALAN I007RAJ@OKAXIS-624206704234-UPI</t>
  </si>
  <si>
    <t xml:space="preserve">UPI-170701000006954-RS2307198@OKAXIS-624 291905760-UPI</t>
  </si>
  <si>
    <t xml:space="preserve">UPI-KHURSHIDANSARI-9670027079-2@YBL-UTI B0005317-128735412042-UPI</t>
  </si>
  <si>
    <t xml:space="preserve">UPI-50100074315607-MARICHAMYP122@OKHDFCB ANK-128739301745-UPI</t>
  </si>
  <si>
    <t xml:space="preserve">UPI-1977054000000539-ARUNVSUKI-6@OKICICI -660803330343-UPI</t>
  </si>
  <si>
    <t xml:space="preserve">UPI-70000100003505-MAHASHREE2609@OKICICI -660890923161-UPI</t>
  </si>
  <si>
    <t xml:space="preserve">UPI-136100050307609-JOTHILAKSHMI81973@OK HDFCBANK-128745642744-UPI</t>
  </si>
  <si>
    <t xml:space="preserve">UPI-1620155000014745-NTHANGAMANI121@OKAX HDFCBANKLIMITED *Closingbalanceincludesfundsearmarkedforholdandunclearedfunds Contentsofthisstatementwillbeconsideredcorrectifnoerrorisrepo</t>
  </si>
  <si>
    <t xml:space="preserve">UPI-75280100006591-AANATHIRAJ1-1@OKAXIS- 624206023296-UPI</t>
  </si>
  <si>
    <t xml:space="preserve">UPI-6960479905-8778316609@AXL-4366743461 95-PAYMENTFROMPHONEPE</t>
  </si>
  <si>
    <t xml:space="preserve">UPI-5689101003927-SARAVANABAVA1908@OKAXI S-624281523598-UPI</t>
  </si>
  <si>
    <t xml:space="preserve">UPI-DHANALAKSHMIPOONDU -UPI.9600606293@ SIB-SIBL0000019-128774281685-UPI</t>
  </si>
  <si>
    <t xml:space="preserve">UPI-00000020195913610-9843654808@YBL-906 401835038-PAYMENTFROMPHONEPE</t>
  </si>
  <si>
    <t xml:space="preserve">UPI-001601545330-AKANNAN181@ICICI-110561 109694-UPIPAYMENT</t>
  </si>
  <si>
    <t xml:space="preserve">UPI-JIO-RELIANCERETAIL2.EASEBUZZ@KOTAKPA Y-KKBK0JPUPIA-128783131414-PAY</t>
  </si>
  <si>
    <t xml:space="preserve">UPI-DHANALAKSHMIPOONDU -UPI.9600606293@ SIB-SIBL0000019-128783977595-UPI</t>
  </si>
  <si>
    <t xml:space="preserve">UPI-916010012957814-THIRUPPATHIRAVI93-1@ OKAXIS-624367989286-UPI</t>
  </si>
  <si>
    <t xml:space="preserve">UPI-50100204219384-YOGESHNSCHOOL@OKHDFCB ANK-128784813727-UPI</t>
  </si>
  <si>
    <t xml:space="preserve">UPI-170001000006229-NEELAVENI.2996@WAICI CI-110561442907-NA</t>
  </si>
  <si>
    <t xml:space="preserve">UPI-0201053000024109-7539927043-2@AXL-85 2707734142-PAYMENTFROMPHONEPE</t>
  </si>
  <si>
    <t xml:space="preserve">UPI-00000042991740182-TARUPORIA820707-1@ OKSBI-624331536986-UPI</t>
  </si>
  <si>
    <t xml:space="preserve">UPI-5543101002233-KALAISELVI96475@OKHDFC BANK-128787978233-UPI</t>
  </si>
  <si>
    <t xml:space="preserve">UPI-5543101002233-KALAISELVI96475@OKHDFC HDFCBANKLIMITED *Closingbalanceincludesfundsearmarkedforholdandunclearedfunds Contentsofthisstatementwillbeconsideredcorrectifnoerrorisrepo</t>
  </si>
  <si>
    <t xml:space="preserve">UPI-185100050323001-N.PAULRAJ007@OKICICI -660904983770-UPI</t>
  </si>
  <si>
    <t xml:space="preserve">UPI-NEWANNAPOORNA TIFFE-Q132905451@YBL- YESB0YBLUPI-128791388781-UPI</t>
  </si>
  <si>
    <t xml:space="preserve">UPI-00000031307836094-PRASANNADEVI11211@ OKSBI-624338647173-UPI</t>
  </si>
  <si>
    <t xml:space="preserve">UPI-184401000007437-ARUMUGAM4627@OKICICI -660901698362-UPI</t>
  </si>
  <si>
    <t xml:space="preserve">UPI-292100050309008-8973246794@YBL-48070 6286581-PAYMENTFROMPHONEPE</t>
  </si>
  <si>
    <t xml:space="preserve">UPI-00000038858432321-MEERAINDU2@OKSBI-6 24342425613-UPI</t>
  </si>
  <si>
    <t xml:space="preserve">36882960RUPAYMDRRCVRY-31/08/26</t>
  </si>
  <si>
    <t xml:space="preserve">UPI-62302210010982-PANKAJAM465@OKICICI-6 24329927567-GARLIC</t>
  </si>
  <si>
    <t xml:space="preserve">UPI-17900100024498-V.C.SIVASEKARCHINNASA MY-3@OKICICI-624340220806-UPI</t>
  </si>
  <si>
    <t xml:space="preserve">UPI-820110510001618-VAIGIAJOHNJOHN@OKAXI S-660943239662-UPI</t>
  </si>
  <si>
    <t xml:space="preserve">UPI-8199779737-8100405204-ED75@IBL-15137 9747132-PAYMENTFROMPHONEPE</t>
  </si>
  <si>
    <t xml:space="preserve">UPI-1120155000351334-MANISUBRA99407@OKIC ICI-624300539518-UPI</t>
  </si>
  <si>
    <t xml:space="preserve">UPI-5543101001452-MOHAN123.YD-1@OKAXIS-6 60947547500-UPI</t>
  </si>
  <si>
    <t xml:space="preserve">UPI-NAGARAJANT-8148538351.1@HDFC-ICIC00 06022-624318514482-UPISENDMONEY STATEMENTSUMMARY :- OpeningBalance HDFCBANKLIMITED *Closingbalanceincludesfundsearmarkedforholdandunclearedf</t>
  </si>
  <si>
    <t xml:space="preserve">Nagarajan (HDFC 6393) — All Transactions</t>
  </si>
  <si>
    <t xml:space="preserve">UPI-D SAMRAJ-SAMRAJD255@OKAXIS-INDB00000 21-618746266134-UPI</t>
  </si>
  <si>
    <t xml:space="preserve">UPI-AJITHKUMAR S-AAJITHAJITH939@OKAXIS -IOBA0000124-618793157227-UPI</t>
  </si>
  <si>
    <t xml:space="preserve">UPI-RAJESH R-RAJESHPRIYAFEB04@OKSBI-SBI N0008608-618768853568-UPI</t>
  </si>
  <si>
    <t xml:space="preserve">UPI-ABDULMUTHALEP P-PS9605969@OKSBI-SBI N0001384-618772320001-UPI</t>
  </si>
  <si>
    <t xml:space="preserve">UPI-VMSVEGTABLES-8667811345@IOB-IOBA0 001747-618711905154-UPIFUNDTRANSFER</t>
  </si>
  <si>
    <t xml:space="preserve">UPI-DAISYRANI SUGUMAR-DAISYMANGUNI-3@OK ICICI-IOBA0001846-655324789784-UPI</t>
  </si>
  <si>
    <t xml:space="preserve">UPI-VISHNUT M-VISHNUSHINCHAN@OKICICI-CN RB0000033-618805843360-UPI</t>
  </si>
  <si>
    <t xml:space="preserve">EMI467832485CHQS46783248500410726467 832485</t>
  </si>
  <si>
    <t xml:space="preserve">UPI-MRSUHAILAHAMED SIK-SHYSUHAIL@OKHDF CBANK-IDIB000K337-125921235237-UPI</t>
  </si>
  <si>
    <t xml:space="preserve">UPI-SMOHAN CO-M2037518@OKHDFCBANK-BARB0 VJMCOT-125931519920-UPI</t>
  </si>
  <si>
    <t xml:space="preserve">UPI-SIVA SUBRAMANIAN-SIVASUBARAMANIAN16@ OKAXIS-CNRB0000000-619266513202-UPI</t>
  </si>
  <si>
    <t xml:space="preserve">UPI-MSME FILINGS-MSMEFILINGS@OKHDFCBANK- HDFCBANKLIMITED *Closingbalanceincludesfundsearmarkedforholdandunclearedfunds Contentsofthisstatementwillbeconsideredcorrectifnoerrorisrepo</t>
  </si>
  <si>
    <t xml:space="preserve">UPI-INDHUMATHI-8870300492-3@AXL-ESMF0001 266-122085661581-PAYMENTFROMPHONE</t>
  </si>
  <si>
    <t xml:space="preserve">UPI-INDHUMATHI-8870300492-3@AXL-ESMF0001 266-621101201024-PAYMENTFROMPHONE</t>
  </si>
  <si>
    <t xml:space="preserve">UPI-MRSHEMALATHA G-HEMAJANANIMSC-1@OKIC ICI-IDIB000R023-656065411805-AUTOSALEA MT</t>
  </si>
  <si>
    <t xml:space="preserve">UPI-MRSHEMALATHA G-HEMAJANANIMSC-1@OKIC ICI-IDIB000R023-656047219878-AUTOSALEA MT</t>
  </si>
  <si>
    <t xml:space="preserve">UPI-ARUNKUMAR S-ARUNSAI060393@OKSBI-SBI N0000827-656171197724-CASH</t>
  </si>
  <si>
    <t xml:space="preserve">UPI-RAMACHANDRAN-PAYTM.S284E8T@PTY-YESB0 MCHUPI-126270425223-UPI</t>
  </si>
  <si>
    <t xml:space="preserve">UPI-KARUPPUSAMY K-Q317395531@YBL-YESB0Y BLUPI-126270723337-UPI</t>
  </si>
  <si>
    <t xml:space="preserve">UPI-CPMARUTHACHALAM AN-PAYTMQR6LT9FC@P TYS-YESB0PTMUPI-126280411024-UPI</t>
  </si>
  <si>
    <t xml:space="preserve">UPI-JSYED RABIYAMMAL-SHAFIYASHAFIYA686@ OKICICI-TNSC0011700-619556998083-UPI</t>
  </si>
  <si>
    <t xml:space="preserve">UPI-DHANASEKAR KUMAR-Q543106160@YBL-YESB 0YBLUPI-126301984995-UPI</t>
  </si>
  <si>
    <t xml:space="preserve">UPI-B MANIMEGALA-CCMAB.RASIKA@OKSBI-IOBA HDFCBANKLIMITED *Closingbalanceincludesfundsearmarkedforholdandunclearedfunds Contentsofthisstatementwillbeconsideredcorrectifnoerrorisrepo</t>
  </si>
  <si>
    <t xml:space="preserve">UPI-CHANDRAN CHINNASAMY-ERCHANDRAN82-1@O KICICI-IOBA0000727-126327531679-RICE</t>
  </si>
  <si>
    <t xml:space="preserve">UPI-POOJAHARINIM-POOJAHARINI1234@OKSBI -KKBK0008659-126343903272-SORRYKARENT</t>
  </si>
  <si>
    <t xml:space="preserve">UPI-SHRIVARITRADERS-GPAY-11240888700@O KBIZAXIS-UTIB0000553-126364227188-GARLIC</t>
  </si>
  <si>
    <t xml:space="preserve">UPI-NOOR HASAN-PAYTM.S1LL34J@PTY-YESB0MC HUPI-126392567627-UPI</t>
  </si>
  <si>
    <t xml:space="preserve">UPI-KRISHNAVENI-Q133286890@YBL-YESB0YBLU PI-126401795446-UPI</t>
  </si>
  <si>
    <t xml:space="preserve">UPI-CHELLADURAI KARUPPA-GPAY-1219126229 4@OKBIZAXIS-UTIB0000553-126402383438-UPI</t>
  </si>
  <si>
    <t xml:space="preserve">UPI-M VELMURUGAN-Q141268266@YBL-YESB0YBL UPI-126407219351-UPI</t>
  </si>
  <si>
    <t xml:space="preserve">UPI-ABRAR KHAN-KHAN71828@OKSBI-SBIN0002 548-656419257942-UPI</t>
  </si>
  <si>
    <t xml:space="preserve">UPI-SASI K-SWARNAKANNAN1@OKAXIS-BKID0008 200-656488370971-UPI</t>
  </si>
  <si>
    <t xml:space="preserve">UPI-JAYANNA-Q444639315@YBL-YESB0YBLUPI-1 26436895307-UPI</t>
  </si>
  <si>
    <t xml:space="preserve">UPI-CPMARUTHACHALAM AN-PAYTMQR6LT9ES@P TYS-YESB0PTMUPI-126437199218-UPI</t>
  </si>
  <si>
    <t xml:space="preserve">UPI-DMALAIPANDI-8220654668@AXL-HDFC0000 269-983924652535-PAYMENTFROMPHONE</t>
  </si>
  <si>
    <t xml:space="preserve">UPI-SHRIVARITRADERS-GPAY-11240888700@O HDFCBANKLIMITED *Closingbalanceincludesfundsearmarkedforholdandunclearedfunds Contentsofthisstatementwillbeconsideredcorrectifnoerrorisreport</t>
  </si>
  <si>
    <t xml:space="preserve">UPI-RAVIKUMAR R-RAVIALAKKADA@OKSBI-SBIN 0008626-619924841229-UPI</t>
  </si>
  <si>
    <t xml:space="preserve">UPI-VIGNESHD-VIKKI.3193-11@OKICICI-IDFB 0040101-619932047416-UPI</t>
  </si>
  <si>
    <t xml:space="preserve">UPI-KANNAN GANESAN-Q733184149@YBL-YESB0Y BLUPI-126488680251-UPI</t>
  </si>
  <si>
    <t xml:space="preserve">UPI-MRBASKAR VENKATACHA-BASKARVENKATACH ALAM786-1@OKAXIS-IDIB000R023-65658510115 4-UPI</t>
  </si>
  <si>
    <t xml:space="preserve">UPI-MRBASKAR VENKATACHA-BASKARVENKATACH ALAM786-1@OKAXIS-IDIB000R023-65650762427 4-UPI</t>
  </si>
  <si>
    <t xml:space="preserve">UPI-SHANMUGAM ALAGUMUTHU-PAYTMQR6URZ76@P TYS-YESB0PTMUPI-126540892186-UPI</t>
  </si>
  <si>
    <t xml:space="preserve">UPI-VIJAYAGENCIES-PAYTM-8859426@PTYS-YE SB0PTMUPI-126541060634-UPI</t>
  </si>
  <si>
    <t xml:space="preserve">UPI-AROMABAKERY KS-Q644929906@YBL-YESB 0YBLUPI-126541303527-UPI</t>
  </si>
  <si>
    <t xml:space="preserve">UPI-MR SAKTHIVEL-SAKTHIVELS2656@OKAXIS-I DIB000R023-126556575497-UPI</t>
  </si>
  <si>
    <t xml:space="preserve">UPI-ROYALCYCLE MART-9843155099-1@OKBIZA XIS-UTIB0000553-126559580067-SKATING HDFCBANKLIMITED *Closingbalanceincludesfundsearmarkedforholdandunclearedfunds Contentsofthisstatementwi</t>
  </si>
  <si>
    <t xml:space="preserve">UPI-KARUPPUSAMY K-Q317395531@YBL-YESB0Y BLUPI-126561179770-UPI</t>
  </si>
  <si>
    <t xml:space="preserve">UPI-JEMISA-PAYTM.S2295WR@PTY-YESB0MCHUPI -126583812456-UPI</t>
  </si>
  <si>
    <t xml:space="preserve">UPI-SASI K-SWARNAKANNAN1@OKAXIS-BKID0008 200-620161557996-UPI</t>
  </si>
  <si>
    <t xml:space="preserve">UPI-RAMESH M-PAYTM.S2EZYIG@PTY-YESB0MCHU PI-126612230399-UPI</t>
  </si>
  <si>
    <t xml:space="preserve">UPI-DHANASEKAR KUMAR-9894957733@KOTAK811 -KKBK0008785-620198597714-CASH</t>
  </si>
  <si>
    <t xml:space="preserve">UPI-CPMARUTHACHALAM AN-PAYTMQR6LT9ET@P TYS-YESB0PTMUPI-126621141518-UPI</t>
  </si>
  <si>
    <t xml:space="preserve">UPI-VIVEK S-VK.VIVEK.CBE-1@OKAXIS-UTIB0 001919-126624800738-GINGER</t>
  </si>
  <si>
    <t xml:space="preserve">UPI-SHENBAHA VALLIR-SHENBAHAVALLI1960@OK SBI-SIBL0000019-656855930963-RENT</t>
  </si>
  <si>
    <t xml:space="preserve">UPI-MRSHEMALATHA G-HEMAJANANIMSC-1@OKIC ICI-IDIB000R023-126638486886-DEPOSITE</t>
  </si>
  <si>
    <t xml:space="preserve">UPI-MRSHEMALATHA G-HEMAJANANIMSC-1@OKIC ICI-IDIB000R023-126638883407-UPI</t>
  </si>
  <si>
    <t xml:space="preserve">UPI-MRSHEMALATHA G-HEMAJANANIMSC-1@OKIC ICI-IDIB000R023-656817460676-UPI</t>
  </si>
  <si>
    <t xml:space="preserve">UPI-SHANKAR HDFCBANKLIMITED *Closingbalanceincludesfundsearmarkedforholdandunclearedfunds Contentsofthisstatementwillbeconsideredcorrectifnoerrorisreportedwithin30daysofreceiptofst</t>
  </si>
  <si>
    <t xml:space="preserve">UPI-MFRANCIS XAVIER-PAYTMQR6U4MJP@PTYS- YESB0PTMUPI-126662878479-UPI</t>
  </si>
  <si>
    <t xml:space="preserve">UPI-Y PONMANI GNANABAI-Q935525351@YBL-Y ESB0YBLUPI-126669000836-UPI</t>
  </si>
  <si>
    <t xml:space="preserve">UPI-SHANKAR T-SHANKARPARAMU1993@OKICICI -SBIN0003061-620307955139-UPI</t>
  </si>
  <si>
    <t xml:space="preserve">UPI-DIVYAA A-PAYTM.S1YO9XZ@PTY-YESB0MCH UPI-126673401152-UPI</t>
  </si>
  <si>
    <t xml:space="preserve">UPI-SURESH AGENCIES-PAYTM-9102086BOEG@PT YS-YESB0PTMUPI-126676568150-UPI</t>
  </si>
  <si>
    <t xml:space="preserve">UPI-AIRTEL-AIRTELPAYMENTSB554262.RZP-TGL DRVYB9Q3BHP@RXAIRTEL-AIRP0000011-1267156 69034-PAYVIARAZORPAY</t>
  </si>
  <si>
    <t xml:space="preserve">UPI-SHANKAR T-SHANKARPARAMU1993@OKICICI -SBIN0003061-620474595541-UPI</t>
  </si>
  <si>
    <t xml:space="preserve">UPI-JAYANNA-Q444639315@YBL-YESB0YBLUPI-1 26755301700-UPI</t>
  </si>
  <si>
    <t xml:space="preserve">UPI-VIVEK S-VK.VIVEK.CBE-1@OKAXIS-UTIB0 001919-126769339633-GINGER</t>
  </si>
  <si>
    <t xml:space="preserve">UPI-LAKSHMANAN KANNAPPA-LAKSHMANLAKSHMA NAN13@OKHDFCBANK-CNRB0000033-12678402317 9-UPI</t>
  </si>
  <si>
    <t xml:space="preserve">UPI-MR SIVACHANDRAN-SIVACHANDRANM777-1@O KICICI-IDIB000P016-620572864935-UPI</t>
  </si>
  <si>
    <t xml:space="preserve">UPI-PRABU-PRABHUPRABHU00876@OKICICI-SBIN 0009588-620611396381-UPI</t>
  </si>
  <si>
    <t xml:space="preserve">UPI-JIO-RELIANCERETAIL2.EASEBUZZ@KOTAKPA Y-KKBK0JPUPIA-126833933065-PAY</t>
  </si>
  <si>
    <t xml:space="preserve">UPI-MRSHEMALATHA G-HEMAJANANIMSC-1@OKIC ICI-IDIB000R023-126834186911-UPI</t>
  </si>
  <si>
    <t xml:space="preserve">UPI-PARIMALADEVIS-PARIDEVI03-1@OKICICI -BARB0VADAVA-657257929072-UPI</t>
  </si>
  <si>
    <t xml:space="preserve">UPI-KALAISELVAN-KALAINITHYA.42021-1@OKAX IS-CNRB0000033-657268443499-UPI</t>
  </si>
  <si>
    <t xml:space="preserve">UPI-MRANJESHSINGHPAL-Q212938143@YBL-Y ESB0YBLUPI-126859305728-UPI</t>
  </si>
  <si>
    <t xml:space="preserve">UPI-MOHAMMEDALIKHAN S-MOHAMMEDALIKHAN5 72@OKICICI-SBIN0000990-657333870020-UPI</t>
  </si>
  <si>
    <t xml:space="preserve">UPI-SASI K-SWARNAKANNAN1@OKAXIS-BKID0008 200-620774236713-UPI</t>
  </si>
  <si>
    <t xml:space="preserve">UPI-CPMARUTHACHALAM AN-PAYTMQR6LT9ES@P TYS-YESB0PTMUPI-126891950587-UPI</t>
  </si>
  <si>
    <t xml:space="preserve">UPI-MRSHEMALATHA G-HEMAJANANIMSC-1@OKIC ICI-IDIB000R023-620735525064-UPI</t>
  </si>
  <si>
    <t xml:space="preserve">UPI-MUTHURAJA K-PAYTM.S1PBILM@PTY-YESB0M HDFCBANKLIMITED *Closingbalanceincludesfundsearmarkedforholdandunclearedfunds Contentsofthisstatementwillbeconsideredcorrectifnoerrorisrepo</t>
  </si>
  <si>
    <t xml:space="preserve">UPI-SELVAM MUTHAIYA-PAYTM.S1J5UJU@PTY-YE SB0MCHUPI-126906075532-UPI</t>
  </si>
  <si>
    <t xml:space="preserve">UPI-MURALIDHARAN POOJA-6369505924POOJA @KOTAK-KKBK0008659-126921304619-UPI</t>
  </si>
  <si>
    <t xml:space="preserve">UPI-AKJ TRADERS-NASSARAKJ786@OKAXIS-UTIB 0000477-126924103157-GINGER</t>
  </si>
  <si>
    <t xml:space="preserve">UPI-JAYANNA-Q444639315@YBL-YESB0YBLUPI-1 26962395476-UPI</t>
  </si>
  <si>
    <t xml:space="preserve">UPI-AMUTHAVALLI S-Q858363630@YBL-YESB0YB LUPI-126972801670-UPI</t>
  </si>
  <si>
    <t xml:space="preserve">UPI-NOOR HASAN-PAYTM.S1LL34J@PTY-YESB0MC HUPI-126974232456-UPI</t>
  </si>
  <si>
    <t xml:space="preserve">UPI-MRAHAMADHUSAIN-7867001532-2@YBL-ID IB000M656-126974246916-UPI</t>
  </si>
  <si>
    <t xml:space="preserve">UPI-SHAJAHAN IBRAHIM-9043533162@YBL-TMBL 0000059-677727167270-PAYMENTFROMPHONE</t>
  </si>
  <si>
    <t xml:space="preserve">IMPS-620918715347-NAGARAJANT-ICIC-XXXXX XXX0314-IMPSTRANSACTION</t>
  </si>
  <si>
    <t xml:space="preserve">NEFTCR-ICIC0SF0002-NAGARAJAN T-NAGARAJA NT-IN12620947986563</t>
  </si>
  <si>
    <t xml:space="preserve">UPI-VISHNU GARLIC-VISHNU01RAYAKVAL-1@OKH DFCBANK-HDFC0000470-620958169756-GARLIC PURCHASEMP</t>
  </si>
  <si>
    <t xml:space="preserve">UPI-AIRTEL-AIRTEL.PAYU@AXISBANK-UTIB0003 HDFCBANKLIMITED *Closingbalanceincludesfundsearmarkedforholdandunclearedfunds Contentsofthisstatementwillbeconsideredcorrectifnoerrorisrepo</t>
  </si>
  <si>
    <t xml:space="preserve">UPI-THIYAGU SAKTHIVEL-PAYTM.S1DNZF7@PTY- YESB0MCHUPI-127012665963-UPI</t>
  </si>
  <si>
    <t xml:space="preserve">UPI-DIVYAA A-PAYTM.S22AMAE@PTY-YESB0MCH UPI-127023859342-UPI</t>
  </si>
  <si>
    <t xml:space="preserve">UPI-MADHAVAN N-GPAY-12203014690@OKBIZAXI S-UTIB0000553-127045001642-UPI</t>
  </si>
  <si>
    <t xml:space="preserve">UPI-CHELLADURAI KARUPPA-GPAY-1126345485 7@OKBIZAXIS-UTIB0000553-127053812806-UPI</t>
  </si>
  <si>
    <t xml:space="preserve">UPI-PRAGADEESWARAN S-PAYTM.S21GUQ7@PTY-Y ESB0MCHUPI-127065145631-UPI</t>
  </si>
  <si>
    <t xml:space="preserve">UPI-ROCKMENSBEAUTY SAL-PAYTM.S1C767Q@P TY-YESB0MCHUPI-127076919589-UPI</t>
  </si>
  <si>
    <t xml:space="preserve">UPI-SURESH AGENCIES-PAYTM-9102086BOEG@PT YS-YESB0PTMUPI-127077087342-UPI</t>
  </si>
  <si>
    <t xml:space="preserve">UPI-AKJ TRADERS-NASSARAKJ786@OKAXIS-UTIB 0000477-127084995079-UPI</t>
  </si>
  <si>
    <t xml:space="preserve">UPI-MISSJOSHINI R-JOSHINIJOSHINI935@OK SBI-CBIN0284145-621136352096-UPI</t>
  </si>
  <si>
    <t xml:space="preserve">UPI-MADHAVAN N-GPAY-12203014682@OKBIZAXI S-UTIB0000553-127097178005-UPI</t>
  </si>
  <si>
    <t xml:space="preserve">UPI-BAKTHIVEL BALAKRISHN-PAYTMQR5VY7GV@P TYS-YESB0PTMUPI-127098145813-UPI HDFCBANKLIMITED *Closingbalanceincludesfundsearmarkedforholdandunclearedfunds Contentsofthisstatementwillb</t>
  </si>
  <si>
    <t xml:space="preserve">UPI-SRILAKSHMIIYANGAR-Q444639315@YBL- YESB0YBLUPI-127114627468-UPI</t>
  </si>
  <si>
    <t xml:space="preserve">UPI-AROMA BAKERY-Q679976220@YBL-YESB0YBL UPI-127128914705-UPI</t>
  </si>
  <si>
    <t xml:space="preserve">UPI-SREEVELMURUGAN AGEN-PAYTMQR12I4VP@P AYTM-YESB0PTMUPI-127136611085-UPI</t>
  </si>
  <si>
    <t xml:space="preserve">UPI-MUSTHAFAMOHAMMED660O-MUSTHAFAMOHAMME D660@OKAXIS-IDIB000R002-657845070199-UPI</t>
  </si>
  <si>
    <t xml:space="preserve">UPI-RADHA CHALAM-Q48025574@YBL-YESB0YBL UPI-127149191989-UPI</t>
  </si>
  <si>
    <t xml:space="preserve">UPI-SAVALARAM-PAYTMQR6MYBWG@PTYS-YESB0PT MUPI-127300151139-UPI HDFCBANKLIMITED *Closingbalanceincludesfundsearmarkedforholdandunclearedfunds Contentsofthisstatementwillbeconsidered</t>
  </si>
  <si>
    <t xml:space="preserve">UPI-POPULARBAKESAND HDFCBANKLIMITED *Closingbalanceincludesfundsearmarkedforholdandunclearedfunds Contentsofthisstatementwillbeconsideredcorrectifnoerrorisreportedwithin30daysofrec</t>
  </si>
  <si>
    <t xml:space="preserve">UPI-SENTHILNATHAN S-SSN134@OKSBI-SBIN00 15704-622396739661-UPI HDFCBANKLIMITED *Closingbalanceincludesfundsearmarkedforholdandunclearedfunds Contentsofthisstatementwillbeconsidered</t>
  </si>
  <si>
    <t xml:space="preserve">UPI-DRMANOHARAN HOSPITA-VYAPAR.17569287 9512@HDFCBANK-HDFC0MERUPI-128158350020-U HDFCBANKLIMITED *Closingbalanceincludesfundsearmarkedforholdandunclearedfunds Contentsofthisstateme</t>
  </si>
  <si>
    <t xml:space="preserve">UPI-ROCKMENSBEAUTY SAL-Q713505569@YBL- UBIN0823945-624450632034-UPI</t>
  </si>
  <si>
    <t xml:space="preserve">UPI-KRISHNAVENI-PAYTM.S2XZPVY@PTY-IDIB00 0M193-624432951444-UPI STATEMENTSUMMARY :- HDFCBANKLIMITED *Closingbalanceincludesfundsearmarkedforholdandunclearedfunds Contentsofthisstat</t>
  </si>
  <si>
    <t xml:space="preserve">Nagarajan (ICICI 0314) — All Transactions</t>
  </si>
  <si>
    <t xml:space="preserve">saravanaku UPI/saravanaku/saravanakumar3/UPI/CANARA BAN/655330876480/ICIcd5780aa5a0140dba80402 14696fd73a/ SASGHPL RA</t>
  </si>
  <si>
    <t xml:space="preserve">SASGHPL RA UPI/SASGHPL RA/q816918291@ybl/UPI/YES BANK L/655341277129/ICIef5a9cf1e30c4f48a48afd078e5 dba97/ PhonePe Bu</t>
  </si>
  <si>
    <t xml:space="preserve">PhonePe Bu UPI/PhonePe Bu/phonepedeviceo/Payment fo/YES BANK L/655328194249/ICI6a327044f4124bd3a6a4e4552 322e829 hemajanani</t>
  </si>
  <si>
    <t xml:space="preserve">hemajanani UPI/hemajanani/hemajananimsc-/UPI/INDIAN BAN/618750506474/ICIb317ab7fc8454a4792cf689 572b6cf41/ DHANASEKAR</t>
  </si>
  <si>
    <t xml:space="preserve">DHANASEKAR UPI/DHANASEKAR/q525652580@ybl/UPI/YES BANK L/618729638003/ICIbf2721d343374f328b9e89bad c1957f9/ PhonePe Limited</t>
  </si>
  <si>
    <t xml:space="preserve">PhonePe Limited NEFT-YESAP61884990391-PhonePe Limited-F09 M22UYYZ10YB2URED-002261100000025- YESB0000001 C P Maruth</t>
  </si>
  <si>
    <t xml:space="preserve">C P Maruth UPI/C P Maruth/paytmqr6lt9f6@/UPI/YES BANK L/618853645238/ICI5e22247e08534049b167bb5f5 b5e42c0/ COVAI PACK</t>
  </si>
  <si>
    <t xml:space="preserve">COVAI PACK UPI/COVAI PACK/paytmqr6yv9kb@/shop cover/YES BANK L/618891745441/ICI18900bab66d64ff8bdf0add93b bd76c3 MANIMARAN</t>
  </si>
  <si>
    <t xml:space="preserve">MANIMARAN UPI/MANIMARAN/maranmani29-4@/ginger/AXIS BANK/618848344981/ICIb5a81d8db73940cda1ef5 75a56a70884/ BALAPRAKAS</t>
  </si>
  <si>
    <t xml:space="preserve">BALAPRAKAS UPI/BALAPRAKAS/9361075590@ybl/maintenanc/C ANARA BAN/618892069762/ICI94b5574b96474d3d8e33f3 dcd114241c MADHAVAN N</t>
  </si>
  <si>
    <t xml:space="preserve">MADHAVAN N UPI/MADHAVAN N/gpay-122007105/UPI/AXIS BANK/655471115650/ICI09d27e93f353415387bac 2bc2141775e/ www.icici.bank.in Dial your Bank 1800-1080 Please call from your registere</t>
  </si>
  <si>
    <t xml:space="preserve">DHANASEKAR UPI/DHANASEKAR/q525652580@ybl/UPI/YES BANK L/655406501622/ICI3e7cae087fe24940bb9f8ae3a0 6694fa/ VINITHKUMA</t>
  </si>
  <si>
    <t xml:space="preserve">VINITHKUMA UPI/VINITHKUMA/paytm.s28qr3f@/UPI/YES BANK P/655427011909/ICI001630c0aed24103bb5dff6f8c 35476d/ PhonePe Limited</t>
  </si>
  <si>
    <t xml:space="preserve">PhonePe Limited NEFT-YESAP61894542483-PhonePe Limited-F09 M22UYYZ10YB2URED-002261100000025- YESB0000001 KATHIRVEL</t>
  </si>
  <si>
    <t xml:space="preserve">KATHIRVEL UPI/KATHIRVEL/pkvel123-1@oka/UPI/CANARA BAN/655544574745/ICI4684b6b69e254d5e9691da 57f2e8e988/ PhonePe Limited</t>
  </si>
  <si>
    <t xml:space="preserve">PhonePe Limited NEFT-YESAP61904958547-PhonePe Limited-F09 M22UYYZ10YB2URED-002261100000025- YESB0000001 sofikulisl</t>
  </si>
  <si>
    <t xml:space="preserve">sofikulisl UPI/sofikulisl/sofikulislam05/UPI/INDIAN BAN/619073325859/ICI23c51785fc414b04894fef9 58a949c37/ PhonePe Limited</t>
  </si>
  <si>
    <t xml:space="preserve">PhonePe Limited NEFT-YESAP61915061851-PhonePe Limited-F09 M22UYYZ10YB2URED-002261100000025- YESB0000001 PANDIYAN M</t>
  </si>
  <si>
    <t xml:space="preserve">PANDIYAN M UPI/PANDIYAN M/9952794361-n48/UPI/TAMILNAD M/655723115941/ICIbb0fac59da954fb7903255e30 44142bd/ PAZHE RAND</t>
  </si>
  <si>
    <t xml:space="preserve">PAZHE RAND UPI/PAZHE RAND/paytmqr6urnlc@/UPI/YES BANK L/655703106411/ICI89b6ca961cec43129370a5b50 e0446ef/ sofikulisl</t>
  </si>
  <si>
    <t xml:space="preserve">sofikulisl UPI/sofikulisl/sofikulislam05/enji/INDIAN BAN/655734622956/ICI2613008cb3234e169d1bc5 656b16f39d/ RAJKUMAR C</t>
  </si>
  <si>
    <t xml:space="preserve">RAJKUMAR C UPI/RAJKUMAR C/paytmqr72sypy@/UPI/YES BANK L/655760944716/ICI5b9f025a34564433b826a31a6 b612969/ SREENIVASA</t>
  </si>
  <si>
    <t xml:space="preserve">SREENIVASA UPI/SREENIVASA/gpay-121906071/UPI/AXIS BANK/655736042646/ICI13763f2b02f64ae6ad76b 288a3285aea/ Pandiyan M</t>
  </si>
  <si>
    <t xml:space="preserve">Pandiyan M UPI/Pandiyan M/paytm.s28sl0k@/UPI/YES BANK P/655723263070/ICIe12bd0e9b54d459fb27a35857 a5b7783/ PhonePe Limited</t>
  </si>
  <si>
    <t xml:space="preserve">PhonePe Limited NEFT-YESAP61921537849-PhonePe Limited-F09 M22UYYZ10YB2URED-002261100000025- YESB0000001 JAYAPRAKAS</t>
  </si>
  <si>
    <t xml:space="preserve">JAYAPRAKAS UPI/JAYAPRAKAS/paytmqr2810050/UPI/YES BANK L/655887182678/ICIc3e51031bcc34c9d9b1f09807 bcefbd3/ www.icici.bank.in Dial your Bank 1800-1080 Please call from your register</t>
  </si>
  <si>
    <t xml:space="preserve">MADHAVAN N UPI/MADHAVAN N/gpay-122007105/UPI/AXIS BANK/619274129607/ICI4be8433fa2364910a6b27 282109f4fb8/ PhonePe Limited</t>
  </si>
  <si>
    <t xml:space="preserve">PhonePe Limited NEFT-YESAP61935557816-PhonePe Limited-F09 M22UYYZ10YB2URED-002261100000025- YESB0000001 COIMBATORE</t>
  </si>
  <si>
    <t xml:space="preserve">COIMBATORE UPI/COIMBATORE/paytmqr6rayv6@/UPI/YES BANK L/619317989381/ICI08fd9ee1d2f5452f89fb93b4d8 d139fb/ RAJKUMAR C</t>
  </si>
  <si>
    <t xml:space="preserve">RAJKUMAR C UPI/RAJKUMAR C/paytmqr72sypy@/UPI/YES BANK L/619344588510/ICI789c0b72396647e9a9ab5e636 be69c3d/ PhonePe Limited</t>
  </si>
  <si>
    <t xml:space="preserve">PhonePe Limited NEFT-YESAP61945012265-PhonePe Limited-F09 M22UYYZ10YB2URED-002261100000025- YESB0000001 VELU</t>
  </si>
  <si>
    <t xml:space="preserve">VELU UPI/VELU/vel.reachme@ok/UPI/UNION BANK/656088659402/ICI73e3522661b342b699ed0 b784a7a7fa8/ israeljarw</t>
  </si>
  <si>
    <t xml:space="preserve">israeljarw UPI/israeljarw/israeljarwish-/UPI/ICICI Bank/656029158365/ICIba38f460e5c545308e3a1a 2b6ce1d413/ SHRI VARI</t>
  </si>
  <si>
    <t xml:space="preserve">SHRI VARI UPI/SHRI VARI/gpay-112408887/rv garlic/AXIS BANK/619513218584/ICI41650d4810cc425986bd5 dc26d19e400/ PhonePe Limited</t>
  </si>
  <si>
    <t xml:space="preserve">PhonePe Limited NEFT-YESAP61964232060-PhonePe Limited-F09 M22UYYZ10YB2URED-002261100000025- YESB0000001 PhonePe Limited</t>
  </si>
  <si>
    <t xml:space="preserve">PhonePe Limited NEFT-YESAP61974911891-PhonePe Limited-F09 M22UYYZ10YB2URED-002261100000025- YESB0000001 PhonePe Limited</t>
  </si>
  <si>
    <t xml:space="preserve">PhonePe Limited NEFT-YESAP61986806371-PhonePe Limited-F09 M22UYYZ10YB2URED-002261100000025- YESB0000001 PhonePe Limited</t>
  </si>
  <si>
    <t xml:space="preserve">PhonePe Limited NEFT-YESAP61995120505-PhonePe Limited-F09 M22UYYZ10YB2URED-002261100000025- YESB0000001 PhonePe Limited</t>
  </si>
  <si>
    <t xml:space="preserve">PhonePe Limited NEFT-YESAP62003620996-PhonePe Limited-F09 M22UYYZ10YB2URED-002261100000025- YESB0000001 PhonePe Limited</t>
  </si>
  <si>
    <t xml:space="preserve">PhonePe Limited NEFT-YESAP62014503929-PhonePe Limited-F09 M22UYYZ10YB2URED-002261100000025- YESB0000001 PhonePe Limited</t>
  </si>
  <si>
    <t xml:space="preserve">PhonePe Limited NEFT-YESAP62024627177-PhonePe Limited-F09 M22UYYZ10YB2URED-002261100000025- YESB0000001 hemajanani</t>
  </si>
  <si>
    <t xml:space="preserve">hemajanani UPI/hemajanani/hemajananimsc-/deposit/INDIAN BAN/620273516320/ICIb67eb23821d249279ba083 0f3831ef48/ www.icici.bank.in Dial your Bank 1800-1080 Please call from your regi</t>
  </si>
  <si>
    <t xml:space="preserve">PhonePe Limited NEFT-YESAP62034464483-PhonePe Limited-F09 M22UYYZ10YB2URED-002261100000025- YESB0000001 PhonePe Limited</t>
  </si>
  <si>
    <t xml:space="preserve">PhonePe Limited NEFT-YESAP62044738039-PhonePe Limited-F09 M22UYYZ10YB2URED-002261100000025- YESB0000001 PhonePe Limited</t>
  </si>
  <si>
    <t xml:space="preserve">PhonePe Limited NEFT-YESAP62054398203-PhonePe Limited-F09 M22UYYZ10YB2URED-002261100000025- YESB0000001 PhonePe Limited</t>
  </si>
  <si>
    <t xml:space="preserve">PhonePe Limited NEFT-YESAP62065067114-PhonePe Limited-F09 M22UYYZ10YB2URED-002261100000025- YESB0000001 PhonePe Limited</t>
  </si>
  <si>
    <t xml:space="preserve">PhonePe Limited NEFT-YESAP62073818860-PhonePe Limited-F09 M22UYYZ10YB2URED-002261100000025- YESB0000001 PhonePe Limited</t>
  </si>
  <si>
    <t xml:space="preserve">PhonePe Limited NEFT-YESAP62084737272-PhonePe Limited-F09 M22UYYZ10YB2URED-002261100000025- YESB0000001 PhonePe Limited</t>
  </si>
  <si>
    <t xml:space="preserve">PhonePe Limited NEFT-YESAP62094802264-PhonePe Limited-F09 M22UYYZ10YB2URED-002261100000025- YESB0000001 VISHNU GAR</t>
  </si>
  <si>
    <t xml:space="preserve">VISHNU GAR UPI/VISHNU GAR/vishnu01rayakv/UPI/HDFC BANK/620987574695/ICI8cf753b21bd64182a221a e3c70cdada8/ Credit trxn</t>
  </si>
  <si>
    <t xml:space="preserve">Credit trxn CAM/03421HRY/CASH DEP-Other/28-07-26/7477 Credit trxn</t>
  </si>
  <si>
    <t xml:space="preserve">Credit trxn CAM/03421HRY/CASH DEP-Other/28-07-26/7479 Credit trxn</t>
  </si>
  <si>
    <t xml:space="preserve">Credit trxn CAM/03421HRY/CASH DEP-Other/28-07-26/7481 T Santhama</t>
  </si>
  <si>
    <t xml:space="preserve">T Santhama UPI/T Santhama/paytm.d3626309/UPI/YES BANK P/657586912132/ICIec1ff83391804e729563bd31e 88296de/ NAGARAJAN</t>
  </si>
  <si>
    <t xml:space="preserve">NAGARAJAN BIL/NEFT/IN12620947986563/NAGARAJAN /HDFC BANK VISHNU GAR</t>
  </si>
  <si>
    <t xml:space="preserve">VISHNU GAR UPI/VISHNU GAR/vishnu01rayakv/UPI/HDFC BANK/657538809293/ICIe5a36de0ec5d4310814bc 52e966fbf65/ NAGARAJAN</t>
  </si>
  <si>
    <t xml:space="preserve">NAGARAJAN MMT/IMPS/620918715347/NAGARAJAN /HDFC0002231 PhonePe Limited</t>
  </si>
  <si>
    <t xml:space="preserve">PhonePe Limited NEFT-YESAP62104336224-PhonePe Limited-F09 M22UYYZ10YB2URED-002261100000025- YESB0000001 PhonePe Limited</t>
  </si>
  <si>
    <t xml:space="preserve">PhonePe Limited NEFT-YESAP62114799535-PhonePe Limited-F09 M22UYYZ10YB2URED-002261100000025- YESB0000001 PhonePe Limited</t>
  </si>
  <si>
    <t xml:space="preserve">PhonePe Limited NEFT-YESAP62123988770-PhonePe Limited-F09 M22UYYZ10YB2URED-002261100000025- YESB0000001 www.icici.bank.in Dial your Bank 1800-1080 Please call from your registered </t>
  </si>
  <si>
    <t xml:space="preserve">Noor Hasan UPI/Noor Hasan/paytm.s1ll34j@/UPI/YES BANK P/658607433675/ICI19b5c8f7df144b62830604172 e1316e4/ www.icici.bank.in Dial your Bank 1800-1080 Please call from your register</t>
  </si>
  <si>
    <t xml:space="preserve">AROMA BAKE UPI/AROMA BAKE/q653208232@ybl/UPI/YES BANK L/622196674389/ICI36454a5155b14702be351dd0 e3bcda49/ www.icici.bank.in Dial your Bank 1800-1080 Please call from your register</t>
  </si>
  <si>
    <t xml:space="preserve">SRI RAM JU UPI/SRI RAM JU/q858363630@ybl/UPI/YES BANK L/622438466816/ICI7d86128de2154ee0aba7a82c9 f3152da/ www.icici.bank.in Dial your Bank 1800-1080 Please call from your register</t>
  </si>
  <si>
    <t xml:space="preserve">Sridharan UPI/Sridharan/paytmqr69bqy6@/UPI/YES BANK L/622634965120/ICIaa4d6c4bf3664f4d88752e573c d68f04/ www.icici.bank.in Dial your Bank 1800-1080 Please call from your registered</t>
  </si>
  <si>
    <t xml:space="preserve">C P Maruth UPI/C P Maruth/paytmqr6lt9et@/UPI/YES BANK L/659503752045/ICIb3120f85a5d64341a4367085d 7d76e04/ www.icici.bank.in Dial your Bank 1800-1080 Please call from your register</t>
  </si>
  <si>
    <t xml:space="preserve">Mr KARTHIK UPI/Mr KARTHIK/paytm.s1ykans@/UPI/YES BANK P/623188941137/ICI8470976343014bdcb990e48c6 291719b/ www.icici.bank.in Dial your Bank 1800-1080 Please call from your register</t>
  </si>
  <si>
    <t xml:space="preserve">TNS TRADER UPI/TNS TRADER/8148538351.1@h/UPI Send M/HDFC BANK/624318514482/HDFCMBUPI01M1C74CZT3D W1A1C63V00BCJZ www.icici.bank.in Dial your Bank 1800-1080 Please call from your reg</t>
  </si>
</sst>
</file>

<file path=xl/styles.xml><?xml version="1.0" encoding="utf-8"?>
<styleSheet xmlns="http://schemas.openxmlformats.org/spreadsheetml/2006/main">
  <numFmts count="4">
    <numFmt numFmtId="164" formatCode="General"/>
    <numFmt numFmtId="165" formatCode="\₹#,##0.00"/>
    <numFmt numFmtId="166" formatCode="\₹#,##0.00"/>
    <numFmt numFmtId="167"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2F5233"/>
      <name val="Arial"/>
      <family val="0"/>
      <charset val="1"/>
    </font>
    <font>
      <i val="true"/>
      <sz val="9"/>
      <color rgb="FF666666"/>
      <name val="Arial"/>
      <family val="0"/>
      <charset val="1"/>
    </font>
    <font>
      <b val="true"/>
      <sz val="10"/>
      <color rgb="FFFFFFFF"/>
      <name val="Arial"/>
      <family val="0"/>
      <charset val="1"/>
    </font>
    <font>
      <sz val="10"/>
      <name val="Arial"/>
      <family val="0"/>
      <charset val="1"/>
    </font>
    <font>
      <b val="true"/>
      <sz val="10"/>
      <name val="Arial"/>
      <family val="0"/>
      <charset val="1"/>
    </font>
    <font>
      <b val="true"/>
      <sz val="11"/>
      <color rgb="FF8B3A2E"/>
      <name val="Arial"/>
      <family val="0"/>
      <charset val="1"/>
    </font>
  </fonts>
  <fills count="7">
    <fill>
      <patternFill patternType="none"/>
    </fill>
    <fill>
      <patternFill patternType="gray125"/>
    </fill>
    <fill>
      <patternFill patternType="solid">
        <fgColor rgb="FF2F5233"/>
        <bgColor rgb="FF333300"/>
      </patternFill>
    </fill>
    <fill>
      <patternFill patternType="solid">
        <fgColor rgb="FFF2F2F2"/>
        <bgColor rgb="FFE4EEE1"/>
      </patternFill>
    </fill>
    <fill>
      <patternFill patternType="solid">
        <fgColor rgb="FFE4EEE1"/>
        <bgColor rgb="FFF2F2F2"/>
      </patternFill>
    </fill>
    <fill>
      <patternFill patternType="solid">
        <fgColor rgb="FFFBE4E1"/>
        <bgColor rgb="FFFFF2CC"/>
      </patternFill>
    </fill>
    <fill>
      <patternFill patternType="solid">
        <fgColor rgb="FFFFF2CC"/>
        <bgColor rgb="FFFBE4E1"/>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5" borderId="0" xfId="0" applyFont="true" applyBorder="true" applyAlignment="true" applyProtection="false">
      <alignment horizontal="general" vertical="top" textRotation="0" wrapText="true" indent="0" shrinkToFit="false"/>
      <protection locked="true" hidden="false"/>
    </xf>
    <xf numFmtId="164" fontId="8" fillId="6"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4EEE1"/>
      <rgbColor rgb="FFFFFF99"/>
      <rgbColor rgb="FF99CCFF"/>
      <rgbColor rgb="FFFF99CC"/>
      <rgbColor rgb="FFCC99FF"/>
      <rgbColor rgb="FFFBE4E1"/>
      <rgbColor rgb="FF3366FF"/>
      <rgbColor rgb="FF33CCCC"/>
      <rgbColor rgb="FF99CC00"/>
      <rgbColor rgb="FFFFCC00"/>
      <rgbColor rgb="FFFF9900"/>
      <rgbColor rgb="FFFF6600"/>
      <rgbColor rgb="FF666666"/>
      <rgbColor rgb="FF969696"/>
      <rgbColor rgb="FF003366"/>
      <rgbColor rgb="FF339966"/>
      <rgbColor rgb="FF003300"/>
      <rgbColor rgb="FF333300"/>
      <rgbColor rgb="FF8B3A2E"/>
      <rgbColor rgb="FF993366"/>
      <rgbColor rgb="FF333399"/>
      <rgbColor rgb="FF2F52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7" min="2" style="1" width="16"/>
    <col collapsed="false" customWidth="true" hidden="false" outlineLevel="0" max="8" min="8" style="1" width="18"/>
  </cols>
  <sheetData>
    <row r="1" customFormat="false" ht="15.7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4" customFormat="false" ht="30" hidden="false" customHeight="true" outlineLevel="0" collapsed="false">
      <c r="A4" s="4" t="s">
        <v>2</v>
      </c>
      <c r="B4" s="4" t="s">
        <v>3</v>
      </c>
      <c r="C4" s="4" t="s">
        <v>4</v>
      </c>
      <c r="D4" s="4" t="s">
        <v>5</v>
      </c>
      <c r="E4" s="4" t="s">
        <v>6</v>
      </c>
      <c r="F4" s="4" t="s">
        <v>7</v>
      </c>
      <c r="G4" s="4" t="s">
        <v>8</v>
      </c>
      <c r="H4" s="4" t="s">
        <v>9</v>
      </c>
    </row>
    <row r="5" customFormat="false" ht="15" hidden="false" customHeight="true" outlineLevel="0" collapsed="false">
      <c r="A5" s="5" t="s">
        <v>10</v>
      </c>
      <c r="B5" s="6" t="n">
        <f aca="false">SUMIFS('TNS-HDFC 7278'!E:E,'TNS-HDFC 7278'!A:A,A5,'TNS-HDFC 7278'!C:C,"UPI")</f>
        <v>0</v>
      </c>
      <c r="C5" s="6" t="n">
        <f aca="false">SUMIFS('TNS-HDFC 7278'!D:D,'TNS-HDFC 7278'!A:A,A5,'TNS-HDFC 7278'!C:C,"UPI")</f>
        <v>0</v>
      </c>
      <c r="D5" s="6" t="n">
        <f aca="false">SUMIFS('Nagarajan-HDFC 6393'!E:E,'Nagarajan-HDFC 6393'!A:A,A5,'Nagarajan-HDFC 6393'!C:C,"UPI")</f>
        <v>28310</v>
      </c>
      <c r="E5" s="6" t="n">
        <f aca="false">SUMIFS('Nagarajan-HDFC 6393'!D:D,'Nagarajan-HDFC 6393'!A:A,A5,'Nagarajan-HDFC 6393'!C:C,"UPI")</f>
        <v>0</v>
      </c>
      <c r="F5" s="6" t="n">
        <f aca="false">SUMIFS('Nagarajan-ICICI 0314'!E:E,'Nagarajan-ICICI 0314'!A:A,A5,'Nagarajan-ICICI 0314'!C:C,"UPI")</f>
        <v>0</v>
      </c>
      <c r="G5" s="6" t="n">
        <f aca="false">SUMIFS('Nagarajan-ICICI 0314'!D:D,'Nagarajan-ICICI 0314'!A:A,A5,'Nagarajan-ICICI 0314'!C:C,"UPI")</f>
        <v>1316</v>
      </c>
      <c r="H5" s="6" t="n">
        <f aca="false">B5+D5+F5</f>
        <v>28310</v>
      </c>
    </row>
    <row r="6" customFormat="false" ht="15" hidden="false" customHeight="true" outlineLevel="0" collapsed="false">
      <c r="A6" s="5" t="s">
        <v>11</v>
      </c>
      <c r="B6" s="6" t="n">
        <f aca="false">SUMIFS('TNS-HDFC 7278'!E:E,'TNS-HDFC 7278'!A:A,A6,'TNS-HDFC 7278'!C:C,"UPI")</f>
        <v>0</v>
      </c>
      <c r="C6" s="6" t="n">
        <f aca="false">SUMIFS('TNS-HDFC 7278'!D:D,'TNS-HDFC 7278'!A:A,A6,'TNS-HDFC 7278'!C:C,"UPI")</f>
        <v>0</v>
      </c>
      <c r="D6" s="6" t="n">
        <f aca="false">SUMIFS('Nagarajan-HDFC 6393'!E:E,'Nagarajan-HDFC 6393'!A:A,A6,'Nagarajan-HDFC 6393'!C:C,"UPI")</f>
        <v>28440</v>
      </c>
      <c r="E6" s="6" t="n">
        <f aca="false">SUMIFS('Nagarajan-HDFC 6393'!D:D,'Nagarajan-HDFC 6393'!A:A,A6,'Nagarajan-HDFC 6393'!C:C,"UPI")</f>
        <v>0</v>
      </c>
      <c r="F6" s="6" t="n">
        <f aca="false">SUMIFS('Nagarajan-ICICI 0314'!E:E,'Nagarajan-ICICI 0314'!A:A,A6,'Nagarajan-ICICI 0314'!C:C,"UPI")</f>
        <v>0</v>
      </c>
      <c r="G6" s="6" t="n">
        <f aca="false">SUMIFS('Nagarajan-ICICI 0314'!D:D,'Nagarajan-ICICI 0314'!A:A,A6,'Nagarajan-ICICI 0314'!C:C,"UPI")</f>
        <v>12220</v>
      </c>
      <c r="H6" s="6" t="n">
        <f aca="false">B6+D6+F6</f>
        <v>28440</v>
      </c>
    </row>
    <row r="7" customFormat="false" ht="15" hidden="false" customHeight="true" outlineLevel="0" collapsed="false">
      <c r="A7" s="5" t="s">
        <v>12</v>
      </c>
      <c r="B7" s="6" t="n">
        <f aca="false">SUMIFS('TNS-HDFC 7278'!E:E,'TNS-HDFC 7278'!A:A,A7,'TNS-HDFC 7278'!C:C,"UPI")</f>
        <v>0</v>
      </c>
      <c r="C7" s="6" t="n">
        <f aca="false">SUMIFS('TNS-HDFC 7278'!D:D,'TNS-HDFC 7278'!A:A,A7,'TNS-HDFC 7278'!C:C,"UPI")</f>
        <v>0</v>
      </c>
      <c r="D7" s="6" t="n">
        <f aca="false">SUMIFS('Nagarajan-HDFC 6393'!E:E,'Nagarajan-HDFC 6393'!A:A,A7,'Nagarajan-HDFC 6393'!C:C,"UPI")</f>
        <v>920</v>
      </c>
      <c r="E7" s="6" t="n">
        <f aca="false">SUMIFS('Nagarajan-HDFC 6393'!D:D,'Nagarajan-HDFC 6393'!A:A,A7,'Nagarajan-HDFC 6393'!C:C,"UPI")</f>
        <v>0</v>
      </c>
      <c r="F7" s="6" t="n">
        <f aca="false">SUMIFS('Nagarajan-ICICI 0314'!E:E,'Nagarajan-ICICI 0314'!A:A,A7,'Nagarajan-ICICI 0314'!C:C,"UPI")</f>
        <v>0</v>
      </c>
      <c r="G7" s="6" t="n">
        <f aca="false">SUMIFS('Nagarajan-ICICI 0314'!D:D,'Nagarajan-ICICI 0314'!A:A,A7,'Nagarajan-ICICI 0314'!C:C,"UPI")</f>
        <v>250</v>
      </c>
      <c r="H7" s="6" t="n">
        <f aca="false">B7+D7+F7</f>
        <v>920</v>
      </c>
    </row>
    <row r="8" customFormat="false" ht="15" hidden="false" customHeight="true" outlineLevel="0" collapsed="false">
      <c r="A8" s="5" t="s">
        <v>13</v>
      </c>
      <c r="B8" s="6" t="n">
        <f aca="false">SUMIFS('TNS-HDFC 7278'!E:E,'TNS-HDFC 7278'!A:A,A8,'TNS-HDFC 7278'!C:C,"UPI")</f>
        <v>0</v>
      </c>
      <c r="C8" s="6" t="n">
        <f aca="false">SUMIFS('TNS-HDFC 7278'!D:D,'TNS-HDFC 7278'!A:A,A8,'TNS-HDFC 7278'!C:C,"UPI")</f>
        <v>0</v>
      </c>
      <c r="D8" s="6" t="n">
        <f aca="false">SUMIFS('Nagarajan-HDFC 6393'!E:E,'Nagarajan-HDFC 6393'!A:A,A8,'Nagarajan-HDFC 6393'!C:C,"UPI")</f>
        <v>0</v>
      </c>
      <c r="E8" s="6" t="n">
        <f aca="false">SUMIFS('Nagarajan-HDFC 6393'!D:D,'Nagarajan-HDFC 6393'!A:A,A8,'Nagarajan-HDFC 6393'!C:C,"UPI")</f>
        <v>0</v>
      </c>
      <c r="F8" s="6" t="n">
        <f aca="false">SUMIFS('Nagarajan-ICICI 0314'!E:E,'Nagarajan-ICICI 0314'!A:A,A8,'Nagarajan-ICICI 0314'!C:C,"UPI")</f>
        <v>0</v>
      </c>
      <c r="G8" s="6" t="n">
        <f aca="false">SUMIFS('Nagarajan-ICICI 0314'!D:D,'Nagarajan-ICICI 0314'!A:A,A8,'Nagarajan-ICICI 0314'!C:C,"UPI")</f>
        <v>10900</v>
      </c>
      <c r="H8" s="6" t="n">
        <f aca="false">B8+D8+F8</f>
        <v>0</v>
      </c>
    </row>
    <row r="9" customFormat="false" ht="15" hidden="false" customHeight="true" outlineLevel="0" collapsed="false">
      <c r="A9" s="5" t="s">
        <v>14</v>
      </c>
      <c r="B9" s="6" t="n">
        <f aca="false">SUMIFS('TNS-HDFC 7278'!E:E,'TNS-HDFC 7278'!A:A,A9,'TNS-HDFC 7278'!C:C,"UPI")</f>
        <v>0</v>
      </c>
      <c r="C9" s="6" t="n">
        <f aca="false">SUMIFS('TNS-HDFC 7278'!D:D,'TNS-HDFC 7278'!A:A,A9,'TNS-HDFC 7278'!C:C,"UPI")</f>
        <v>0</v>
      </c>
      <c r="D9" s="6" t="n">
        <f aca="false">SUMIFS('Nagarajan-HDFC 6393'!E:E,'Nagarajan-HDFC 6393'!A:A,A9,'Nagarajan-HDFC 6393'!C:C,"UPI")</f>
        <v>0</v>
      </c>
      <c r="E9" s="6" t="n">
        <f aca="false">SUMIFS('Nagarajan-HDFC 6393'!D:D,'Nagarajan-HDFC 6393'!A:A,A9,'Nagarajan-HDFC 6393'!C:C,"UPI")</f>
        <v>0</v>
      </c>
      <c r="F9" s="6" t="n">
        <f aca="false">SUMIFS('Nagarajan-ICICI 0314'!E:E,'Nagarajan-ICICI 0314'!A:A,A9,'Nagarajan-ICICI 0314'!C:C,"UPI")</f>
        <v>0</v>
      </c>
      <c r="G9" s="6" t="n">
        <f aca="false">SUMIFS('Nagarajan-ICICI 0314'!D:D,'Nagarajan-ICICI 0314'!A:A,A9,'Nagarajan-ICICI 0314'!C:C,"UPI")</f>
        <v>10630</v>
      </c>
      <c r="H9" s="6" t="n">
        <f aca="false">B9+D9+F9</f>
        <v>0</v>
      </c>
    </row>
    <row r="10" customFormat="false" ht="15" hidden="false" customHeight="true" outlineLevel="0" collapsed="false">
      <c r="A10" s="5" t="s">
        <v>15</v>
      </c>
      <c r="B10" s="6" t="n">
        <f aca="false">SUMIFS('TNS-HDFC 7278'!E:E,'TNS-HDFC 7278'!A:A,A10,'TNS-HDFC 7278'!C:C,"UPI")</f>
        <v>0</v>
      </c>
      <c r="C10" s="6" t="n">
        <f aca="false">SUMIFS('TNS-HDFC 7278'!D:D,'TNS-HDFC 7278'!A:A,A10,'TNS-HDFC 7278'!C:C,"UPI")</f>
        <v>0</v>
      </c>
      <c r="D10" s="6" t="n">
        <f aca="false">SUMIFS('Nagarajan-HDFC 6393'!E:E,'Nagarajan-HDFC 6393'!A:A,A10,'Nagarajan-HDFC 6393'!C:C,"UPI")</f>
        <v>220</v>
      </c>
      <c r="E10" s="6" t="n">
        <f aca="false">SUMIFS('Nagarajan-HDFC 6393'!D:D,'Nagarajan-HDFC 6393'!A:A,A10,'Nagarajan-HDFC 6393'!C:C,"UPI")</f>
        <v>1500</v>
      </c>
      <c r="F10" s="6" t="n">
        <f aca="false">SUMIFS('Nagarajan-ICICI 0314'!E:E,'Nagarajan-ICICI 0314'!A:A,A10,'Nagarajan-ICICI 0314'!C:C,"UPI")</f>
        <v>0</v>
      </c>
      <c r="G10" s="6" t="n">
        <f aca="false">SUMIFS('Nagarajan-ICICI 0314'!D:D,'Nagarajan-ICICI 0314'!A:A,A10,'Nagarajan-ICICI 0314'!C:C,"UPI")</f>
        <v>70</v>
      </c>
      <c r="H10" s="6" t="n">
        <f aca="false">B10+D10+F10</f>
        <v>220</v>
      </c>
    </row>
    <row r="11" customFormat="false" ht="15" hidden="false" customHeight="true" outlineLevel="0" collapsed="false">
      <c r="A11" s="5" t="s">
        <v>16</v>
      </c>
      <c r="B11" s="6" t="n">
        <f aca="false">SUMIFS('TNS-HDFC 7278'!E:E,'TNS-HDFC 7278'!A:A,A11,'TNS-HDFC 7278'!C:C,"UPI")</f>
        <v>0</v>
      </c>
      <c r="C11" s="6" t="n">
        <f aca="false">SUMIFS('TNS-HDFC 7278'!D:D,'TNS-HDFC 7278'!A:A,A11,'TNS-HDFC 7278'!C:C,"UPI")</f>
        <v>0</v>
      </c>
      <c r="D11" s="6" t="n">
        <f aca="false">SUMIFS('Nagarajan-HDFC 6393'!E:E,'Nagarajan-HDFC 6393'!A:A,A11,'Nagarajan-HDFC 6393'!C:C,"UPI")</f>
        <v>0</v>
      </c>
      <c r="E11" s="6" t="n">
        <f aca="false">SUMIFS('Nagarajan-HDFC 6393'!D:D,'Nagarajan-HDFC 6393'!A:A,A11,'Nagarajan-HDFC 6393'!C:C,"UPI")</f>
        <v>0</v>
      </c>
      <c r="F11" s="6" t="n">
        <f aca="false">SUMIFS('Nagarajan-ICICI 0314'!E:E,'Nagarajan-ICICI 0314'!A:A,A11,'Nagarajan-ICICI 0314'!C:C,"UPI")</f>
        <v>0</v>
      </c>
      <c r="G11" s="6" t="n">
        <f aca="false">SUMIFS('Nagarajan-ICICI 0314'!D:D,'Nagarajan-ICICI 0314'!A:A,A11,'Nagarajan-ICICI 0314'!C:C,"UPI")</f>
        <v>236</v>
      </c>
      <c r="H11" s="6" t="n">
        <f aca="false">B11+D11+F11</f>
        <v>0</v>
      </c>
    </row>
    <row r="12" customFormat="false" ht="15" hidden="false" customHeight="true" outlineLevel="0" collapsed="false">
      <c r="A12" s="5" t="s">
        <v>17</v>
      </c>
      <c r="B12" s="6" t="n">
        <f aca="false">SUMIFS('TNS-HDFC 7278'!E:E,'TNS-HDFC 7278'!A:A,A12,'TNS-HDFC 7278'!C:C,"UPI")</f>
        <v>0</v>
      </c>
      <c r="C12" s="6" t="n">
        <f aca="false">SUMIFS('TNS-HDFC 7278'!D:D,'TNS-HDFC 7278'!A:A,A12,'TNS-HDFC 7278'!C:C,"UPI")</f>
        <v>0</v>
      </c>
      <c r="D12" s="6" t="n">
        <f aca="false">SUMIFS('Nagarajan-HDFC 6393'!E:E,'Nagarajan-HDFC 6393'!A:A,A12,'Nagarajan-HDFC 6393'!C:C,"UPI")</f>
        <v>32500</v>
      </c>
      <c r="E12" s="6" t="n">
        <f aca="false">SUMIFS('Nagarajan-HDFC 6393'!D:D,'Nagarajan-HDFC 6393'!A:A,A12,'Nagarajan-HDFC 6393'!C:C,"UPI")</f>
        <v>32500</v>
      </c>
      <c r="F12" s="6" t="n">
        <f aca="false">SUMIFS('Nagarajan-ICICI 0314'!E:E,'Nagarajan-ICICI 0314'!A:A,A12,'Nagarajan-ICICI 0314'!C:C,"UPI")</f>
        <v>0</v>
      </c>
      <c r="G12" s="6" t="n">
        <f aca="false">SUMIFS('Nagarajan-ICICI 0314'!D:D,'Nagarajan-ICICI 0314'!A:A,A12,'Nagarajan-ICICI 0314'!C:C,"UPI")</f>
        <v>190</v>
      </c>
      <c r="H12" s="6" t="n">
        <f aca="false">B12+D12+F12</f>
        <v>32500</v>
      </c>
    </row>
    <row r="13" customFormat="false" ht="15" hidden="false" customHeight="true" outlineLevel="0" collapsed="false">
      <c r="A13" s="5" t="s">
        <v>18</v>
      </c>
      <c r="B13" s="6" t="n">
        <f aca="false">SUMIFS('TNS-HDFC 7278'!E:E,'TNS-HDFC 7278'!A:A,A13,'TNS-HDFC 7278'!C:C,"UPI")</f>
        <v>0</v>
      </c>
      <c r="C13" s="6" t="n">
        <f aca="false">SUMIFS('TNS-HDFC 7278'!D:D,'TNS-HDFC 7278'!A:A,A13,'TNS-HDFC 7278'!C:C,"UPI")</f>
        <v>0</v>
      </c>
      <c r="D13" s="6" t="n">
        <f aca="false">SUMIFS('Nagarajan-HDFC 6393'!E:E,'Nagarajan-HDFC 6393'!A:A,A13,'Nagarajan-HDFC 6393'!C:C,"UPI")</f>
        <v>2000</v>
      </c>
      <c r="E13" s="6" t="n">
        <f aca="false">SUMIFS('Nagarajan-HDFC 6393'!D:D,'Nagarajan-HDFC 6393'!A:A,A13,'Nagarajan-HDFC 6393'!C:C,"UPI")</f>
        <v>1952</v>
      </c>
      <c r="F13" s="6" t="n">
        <f aca="false">SUMIFS('Nagarajan-ICICI 0314'!E:E,'Nagarajan-ICICI 0314'!A:A,A13,'Nagarajan-ICICI 0314'!C:C,"UPI")</f>
        <v>0</v>
      </c>
      <c r="G13" s="6" t="n">
        <f aca="false">SUMIFS('Nagarajan-ICICI 0314'!D:D,'Nagarajan-ICICI 0314'!A:A,A13,'Nagarajan-ICICI 0314'!C:C,"UPI")</f>
        <v>3250</v>
      </c>
      <c r="H13" s="6" t="n">
        <f aca="false">B13+D13+F13</f>
        <v>2000</v>
      </c>
    </row>
    <row r="14" customFormat="false" ht="15" hidden="false" customHeight="true" outlineLevel="0" collapsed="false">
      <c r="A14" s="5" t="s">
        <v>19</v>
      </c>
      <c r="B14" s="6" t="n">
        <f aca="false">SUMIFS('TNS-HDFC 7278'!E:E,'TNS-HDFC 7278'!A:A,A14,'TNS-HDFC 7278'!C:C,"UPI")</f>
        <v>0</v>
      </c>
      <c r="C14" s="6" t="n">
        <f aca="false">SUMIFS('TNS-HDFC 7278'!D:D,'TNS-HDFC 7278'!A:A,A14,'TNS-HDFC 7278'!C:C,"UPI")</f>
        <v>0</v>
      </c>
      <c r="D14" s="6" t="n">
        <f aca="false">SUMIFS('Nagarajan-HDFC 6393'!E:E,'Nagarajan-HDFC 6393'!A:A,A14,'Nagarajan-HDFC 6393'!C:C,"UPI")</f>
        <v>0</v>
      </c>
      <c r="E14" s="6" t="n">
        <f aca="false">SUMIFS('Nagarajan-HDFC 6393'!D:D,'Nagarajan-HDFC 6393'!A:A,A14,'Nagarajan-HDFC 6393'!C:C,"UPI")</f>
        <v>5180</v>
      </c>
      <c r="F14" s="6" t="n">
        <f aca="false">SUMIFS('Nagarajan-ICICI 0314'!E:E,'Nagarajan-ICICI 0314'!A:A,A14,'Nagarajan-ICICI 0314'!C:C,"UPI")</f>
        <v>0</v>
      </c>
      <c r="G14" s="6" t="n">
        <f aca="false">SUMIFS('Nagarajan-ICICI 0314'!D:D,'Nagarajan-ICICI 0314'!A:A,A14,'Nagarajan-ICICI 0314'!C:C,"UPI")</f>
        <v>0</v>
      </c>
      <c r="H14" s="6" t="n">
        <f aca="false">B14+D14+F14</f>
        <v>0</v>
      </c>
    </row>
    <row r="15" customFormat="false" ht="15" hidden="false" customHeight="true" outlineLevel="0" collapsed="false">
      <c r="A15" s="5" t="s">
        <v>20</v>
      </c>
      <c r="B15" s="6" t="n">
        <f aca="false">SUMIFS('TNS-HDFC 7278'!E:E,'TNS-HDFC 7278'!A:A,A15,'TNS-HDFC 7278'!C:C,"UPI")</f>
        <v>0</v>
      </c>
      <c r="C15" s="6" t="n">
        <f aca="false">SUMIFS('TNS-HDFC 7278'!D:D,'TNS-HDFC 7278'!A:A,A15,'TNS-HDFC 7278'!C:C,"UPI")</f>
        <v>0</v>
      </c>
      <c r="D15" s="6" t="n">
        <f aca="false">SUMIFS('Nagarajan-HDFC 6393'!E:E,'Nagarajan-HDFC 6393'!A:A,A15,'Nagarajan-HDFC 6393'!C:C,"UPI")</f>
        <v>0</v>
      </c>
      <c r="E15" s="6" t="n">
        <f aca="false">SUMIFS('Nagarajan-HDFC 6393'!D:D,'Nagarajan-HDFC 6393'!A:A,A15,'Nagarajan-HDFC 6393'!C:C,"UPI")</f>
        <v>4825</v>
      </c>
      <c r="F15" s="6" t="n">
        <f aca="false">SUMIFS('Nagarajan-ICICI 0314'!E:E,'Nagarajan-ICICI 0314'!A:A,A15,'Nagarajan-ICICI 0314'!C:C,"UPI")</f>
        <v>0</v>
      </c>
      <c r="G15" s="6" t="n">
        <f aca="false">SUMIFS('Nagarajan-ICICI 0314'!D:D,'Nagarajan-ICICI 0314'!A:A,A15,'Nagarajan-ICICI 0314'!C:C,"UPI")</f>
        <v>0</v>
      </c>
      <c r="H15" s="6" t="n">
        <f aca="false">B15+D15+F15</f>
        <v>0</v>
      </c>
    </row>
    <row r="16" customFormat="false" ht="15" hidden="false" customHeight="true" outlineLevel="0" collapsed="false">
      <c r="A16" s="5" t="s">
        <v>21</v>
      </c>
      <c r="B16" s="6" t="n">
        <f aca="false">SUMIFS('TNS-HDFC 7278'!E:E,'TNS-HDFC 7278'!A:A,A16,'TNS-HDFC 7278'!C:C,"UPI")</f>
        <v>0</v>
      </c>
      <c r="C16" s="6" t="n">
        <f aca="false">SUMIFS('TNS-HDFC 7278'!D:D,'TNS-HDFC 7278'!A:A,A16,'TNS-HDFC 7278'!C:C,"UPI")</f>
        <v>0</v>
      </c>
      <c r="D16" s="6" t="n">
        <f aca="false">SUMIFS('Nagarajan-HDFC 6393'!E:E,'Nagarajan-HDFC 6393'!A:A,A16,'Nagarajan-HDFC 6393'!C:C,"UPI")</f>
        <v>1750</v>
      </c>
      <c r="E16" s="6" t="n">
        <f aca="false">SUMIFS('Nagarajan-HDFC 6393'!D:D,'Nagarajan-HDFC 6393'!A:A,A16,'Nagarajan-HDFC 6393'!C:C,"UPI")</f>
        <v>1200</v>
      </c>
      <c r="F16" s="6" t="n">
        <f aca="false">SUMIFS('Nagarajan-ICICI 0314'!E:E,'Nagarajan-ICICI 0314'!A:A,A16,'Nagarajan-ICICI 0314'!C:C,"UPI")</f>
        <v>0</v>
      </c>
      <c r="G16" s="6" t="n">
        <f aca="false">SUMIFS('Nagarajan-ICICI 0314'!D:D,'Nagarajan-ICICI 0314'!A:A,A16,'Nagarajan-ICICI 0314'!C:C,"UPI")</f>
        <v>0</v>
      </c>
      <c r="H16" s="6" t="n">
        <f aca="false">B16+D16+F16</f>
        <v>1750</v>
      </c>
    </row>
    <row r="17" customFormat="false" ht="15" hidden="false" customHeight="true" outlineLevel="0" collapsed="false">
      <c r="A17" s="5" t="s">
        <v>22</v>
      </c>
      <c r="B17" s="6" t="n">
        <f aca="false">SUMIFS('TNS-HDFC 7278'!E:E,'TNS-HDFC 7278'!A:A,A17,'TNS-HDFC 7278'!C:C,"UPI")</f>
        <v>0</v>
      </c>
      <c r="C17" s="6" t="n">
        <f aca="false">SUMIFS('TNS-HDFC 7278'!D:D,'TNS-HDFC 7278'!A:A,A17,'TNS-HDFC 7278'!C:C,"UPI")</f>
        <v>0</v>
      </c>
      <c r="D17" s="6" t="n">
        <f aca="false">SUMIFS('Nagarajan-HDFC 6393'!E:E,'Nagarajan-HDFC 6393'!A:A,A17,'Nagarajan-HDFC 6393'!C:C,"UPI")</f>
        <v>801</v>
      </c>
      <c r="E17" s="6" t="n">
        <f aca="false">SUMIFS('Nagarajan-HDFC 6393'!D:D,'Nagarajan-HDFC 6393'!A:A,A17,'Nagarajan-HDFC 6393'!C:C,"UPI")</f>
        <v>7914</v>
      </c>
      <c r="F17" s="6" t="n">
        <f aca="false">SUMIFS('Nagarajan-ICICI 0314'!E:E,'Nagarajan-ICICI 0314'!A:A,A17,'Nagarajan-ICICI 0314'!C:C,"UPI")</f>
        <v>0</v>
      </c>
      <c r="G17" s="6" t="n">
        <f aca="false">SUMIFS('Nagarajan-ICICI 0314'!D:D,'Nagarajan-ICICI 0314'!A:A,A17,'Nagarajan-ICICI 0314'!C:C,"UPI")</f>
        <v>0</v>
      </c>
      <c r="H17" s="6" t="n">
        <f aca="false">B17+D17+F17</f>
        <v>801</v>
      </c>
    </row>
    <row r="18" customFormat="false" ht="15" hidden="false" customHeight="true" outlineLevel="0" collapsed="false">
      <c r="A18" s="5" t="s">
        <v>23</v>
      </c>
      <c r="B18" s="6" t="n">
        <f aca="false">SUMIFS('TNS-HDFC 7278'!E:E,'TNS-HDFC 7278'!A:A,A18,'TNS-HDFC 7278'!C:C,"UPI")</f>
        <v>0</v>
      </c>
      <c r="C18" s="6" t="n">
        <f aca="false">SUMIFS('TNS-HDFC 7278'!D:D,'TNS-HDFC 7278'!A:A,A18,'TNS-HDFC 7278'!C:C,"UPI")</f>
        <v>0</v>
      </c>
      <c r="D18" s="6" t="n">
        <f aca="false">SUMIFS('Nagarajan-HDFC 6393'!E:E,'Nagarajan-HDFC 6393'!A:A,A18,'Nagarajan-HDFC 6393'!C:C,"UPI")</f>
        <v>0</v>
      </c>
      <c r="E18" s="6" t="n">
        <f aca="false">SUMIFS('Nagarajan-HDFC 6393'!D:D,'Nagarajan-HDFC 6393'!A:A,A18,'Nagarajan-HDFC 6393'!C:C,"UPI")</f>
        <v>1680</v>
      </c>
      <c r="F18" s="6" t="n">
        <f aca="false">SUMIFS('Nagarajan-ICICI 0314'!E:E,'Nagarajan-ICICI 0314'!A:A,A18,'Nagarajan-ICICI 0314'!C:C,"UPI")</f>
        <v>0</v>
      </c>
      <c r="G18" s="6" t="n">
        <f aca="false">SUMIFS('Nagarajan-ICICI 0314'!D:D,'Nagarajan-ICICI 0314'!A:A,A18,'Nagarajan-ICICI 0314'!C:C,"UPI")</f>
        <v>0</v>
      </c>
      <c r="H18" s="6" t="n">
        <f aca="false">B18+D18+F18</f>
        <v>0</v>
      </c>
    </row>
    <row r="19" customFormat="false" ht="15" hidden="false" customHeight="true" outlineLevel="0" collapsed="false">
      <c r="A19" s="5" t="s">
        <v>24</v>
      </c>
      <c r="B19" s="6" t="n">
        <f aca="false">SUMIFS('TNS-HDFC 7278'!E:E,'TNS-HDFC 7278'!A:A,A19,'TNS-HDFC 7278'!C:C,"UPI")</f>
        <v>0</v>
      </c>
      <c r="C19" s="6" t="n">
        <f aca="false">SUMIFS('TNS-HDFC 7278'!D:D,'TNS-HDFC 7278'!A:A,A19,'TNS-HDFC 7278'!C:C,"UPI")</f>
        <v>0</v>
      </c>
      <c r="D19" s="6" t="n">
        <f aca="false">SUMIFS('Nagarajan-HDFC 6393'!E:E,'Nagarajan-HDFC 6393'!A:A,A19,'Nagarajan-HDFC 6393'!C:C,"UPI")</f>
        <v>1000</v>
      </c>
      <c r="E19" s="6" t="n">
        <f aca="false">SUMIFS('Nagarajan-HDFC 6393'!D:D,'Nagarajan-HDFC 6393'!A:A,A19,'Nagarajan-HDFC 6393'!C:C,"UPI")</f>
        <v>3270</v>
      </c>
      <c r="F19" s="6" t="n">
        <f aca="false">SUMIFS('Nagarajan-ICICI 0314'!E:E,'Nagarajan-ICICI 0314'!A:A,A19,'Nagarajan-ICICI 0314'!C:C,"UPI")</f>
        <v>0</v>
      </c>
      <c r="G19" s="6" t="n">
        <f aca="false">SUMIFS('Nagarajan-ICICI 0314'!D:D,'Nagarajan-ICICI 0314'!A:A,A19,'Nagarajan-ICICI 0314'!C:C,"UPI")</f>
        <v>0</v>
      </c>
      <c r="H19" s="6" t="n">
        <f aca="false">B19+D19+F19</f>
        <v>1000</v>
      </c>
    </row>
    <row r="20" customFormat="false" ht="15" hidden="false" customHeight="true" outlineLevel="0" collapsed="false">
      <c r="A20" s="5" t="s">
        <v>25</v>
      </c>
      <c r="B20" s="6" t="n">
        <f aca="false">SUMIFS('TNS-HDFC 7278'!E:E,'TNS-HDFC 7278'!A:A,A20,'TNS-HDFC 7278'!C:C,"UPI")</f>
        <v>0</v>
      </c>
      <c r="C20" s="6" t="n">
        <f aca="false">SUMIFS('TNS-HDFC 7278'!D:D,'TNS-HDFC 7278'!A:A,A20,'TNS-HDFC 7278'!C:C,"UPI")</f>
        <v>0</v>
      </c>
      <c r="D20" s="6" t="n">
        <f aca="false">SUMIFS('Nagarajan-HDFC 6393'!E:E,'Nagarajan-HDFC 6393'!A:A,A20,'Nagarajan-HDFC 6393'!C:C,"UPI")</f>
        <v>0</v>
      </c>
      <c r="E20" s="6" t="n">
        <f aca="false">SUMIFS('Nagarajan-HDFC 6393'!D:D,'Nagarajan-HDFC 6393'!A:A,A20,'Nagarajan-HDFC 6393'!C:C,"UPI")</f>
        <v>60650</v>
      </c>
      <c r="F20" s="6" t="n">
        <f aca="false">SUMIFS('Nagarajan-ICICI 0314'!E:E,'Nagarajan-ICICI 0314'!A:A,A20,'Nagarajan-ICICI 0314'!C:C,"UPI")</f>
        <v>0</v>
      </c>
      <c r="G20" s="6" t="n">
        <f aca="false">SUMIFS('Nagarajan-ICICI 0314'!D:D,'Nagarajan-ICICI 0314'!A:A,A20,'Nagarajan-ICICI 0314'!C:C,"UPI")</f>
        <v>99000</v>
      </c>
      <c r="H20" s="6" t="n">
        <f aca="false">B20+D20+F20</f>
        <v>0</v>
      </c>
    </row>
    <row r="21" customFormat="false" ht="15" hidden="false" customHeight="true" outlineLevel="0" collapsed="false">
      <c r="A21" s="5" t="s">
        <v>26</v>
      </c>
      <c r="B21" s="6" t="n">
        <f aca="false">SUMIFS('TNS-HDFC 7278'!E:E,'TNS-HDFC 7278'!A:A,A21,'TNS-HDFC 7278'!C:C,"UPI")</f>
        <v>0</v>
      </c>
      <c r="C21" s="6" t="n">
        <f aca="false">SUMIFS('TNS-HDFC 7278'!D:D,'TNS-HDFC 7278'!A:A,A21,'TNS-HDFC 7278'!C:C,"UPI")</f>
        <v>0</v>
      </c>
      <c r="D21" s="6" t="n">
        <f aca="false">SUMIFS('Nagarajan-HDFC 6393'!E:E,'Nagarajan-HDFC 6393'!A:A,A21,'Nagarajan-HDFC 6393'!C:C,"UPI")</f>
        <v>1</v>
      </c>
      <c r="E21" s="6" t="n">
        <f aca="false">SUMIFS('Nagarajan-HDFC 6393'!D:D,'Nagarajan-HDFC 6393'!A:A,A21,'Nagarajan-HDFC 6393'!C:C,"UPI")</f>
        <v>265</v>
      </c>
      <c r="F21" s="6" t="n">
        <f aca="false">SUMIFS('Nagarajan-ICICI 0314'!E:E,'Nagarajan-ICICI 0314'!A:A,A21,'Nagarajan-ICICI 0314'!C:C,"UPI")</f>
        <v>0</v>
      </c>
      <c r="G21" s="6" t="n">
        <f aca="false">SUMIFS('Nagarajan-ICICI 0314'!D:D,'Nagarajan-ICICI 0314'!A:A,A21,'Nagarajan-ICICI 0314'!C:C,"UPI")</f>
        <v>0</v>
      </c>
      <c r="H21" s="6" t="n">
        <f aca="false">B21+D21+F21</f>
        <v>1</v>
      </c>
    </row>
    <row r="22" customFormat="false" ht="15" hidden="false" customHeight="true" outlineLevel="0" collapsed="false">
      <c r="A22" s="5" t="s">
        <v>27</v>
      </c>
      <c r="B22" s="6" t="n">
        <f aca="false">SUMIFS('TNS-HDFC 7278'!E:E,'TNS-HDFC 7278'!A:A,A22,'TNS-HDFC 7278'!C:C,"UPI")</f>
        <v>0</v>
      </c>
      <c r="C22" s="6" t="n">
        <f aca="false">SUMIFS('TNS-HDFC 7278'!D:D,'TNS-HDFC 7278'!A:A,A22,'TNS-HDFC 7278'!C:C,"UPI")</f>
        <v>0</v>
      </c>
      <c r="D22" s="6" t="n">
        <f aca="false">SUMIFS('Nagarajan-HDFC 6393'!E:E,'Nagarajan-HDFC 6393'!A:A,A22,'Nagarajan-HDFC 6393'!C:C,"UPI")</f>
        <v>0</v>
      </c>
      <c r="E22" s="6" t="n">
        <f aca="false">SUMIFS('Nagarajan-HDFC 6393'!D:D,'Nagarajan-HDFC 6393'!A:A,A22,'Nagarajan-HDFC 6393'!C:C,"UPI")</f>
        <v>1354</v>
      </c>
      <c r="F22" s="6" t="n">
        <f aca="false">SUMIFS('Nagarajan-ICICI 0314'!E:E,'Nagarajan-ICICI 0314'!A:A,A22,'Nagarajan-ICICI 0314'!C:C,"UPI")</f>
        <v>0</v>
      </c>
      <c r="G22" s="6" t="n">
        <f aca="false">SUMIFS('Nagarajan-ICICI 0314'!D:D,'Nagarajan-ICICI 0314'!A:A,A22,'Nagarajan-ICICI 0314'!C:C,"UPI")</f>
        <v>0</v>
      </c>
      <c r="H22" s="6" t="n">
        <f aca="false">B22+D22+F22</f>
        <v>0</v>
      </c>
    </row>
    <row r="23" customFormat="false" ht="15" hidden="false" customHeight="true" outlineLevel="0" collapsed="false">
      <c r="A23" s="5" t="s">
        <v>28</v>
      </c>
      <c r="B23" s="6" t="n">
        <f aca="false">SUMIFS('TNS-HDFC 7278'!E:E,'TNS-HDFC 7278'!A:A,A23,'TNS-HDFC 7278'!C:C,"UPI")</f>
        <v>0</v>
      </c>
      <c r="C23" s="6" t="n">
        <f aca="false">SUMIFS('TNS-HDFC 7278'!D:D,'TNS-HDFC 7278'!A:A,A23,'TNS-HDFC 7278'!C:C,"UPI")</f>
        <v>0</v>
      </c>
      <c r="D23" s="6" t="n">
        <f aca="false">SUMIFS('Nagarajan-HDFC 6393'!E:E,'Nagarajan-HDFC 6393'!A:A,A23,'Nagarajan-HDFC 6393'!C:C,"UPI")</f>
        <v>0</v>
      </c>
      <c r="E23" s="6" t="n">
        <f aca="false">SUMIFS('Nagarajan-HDFC 6393'!D:D,'Nagarajan-HDFC 6393'!A:A,A23,'Nagarajan-HDFC 6393'!C:C,"UPI")</f>
        <v>8990</v>
      </c>
      <c r="F23" s="6" t="n">
        <f aca="false">SUMIFS('Nagarajan-ICICI 0314'!E:E,'Nagarajan-ICICI 0314'!A:A,A23,'Nagarajan-ICICI 0314'!C:C,"UPI")</f>
        <v>0</v>
      </c>
      <c r="G23" s="6" t="n">
        <f aca="false">SUMIFS('Nagarajan-ICICI 0314'!D:D,'Nagarajan-ICICI 0314'!A:A,A23,'Nagarajan-ICICI 0314'!C:C,"UPI")</f>
        <v>0</v>
      </c>
      <c r="H23" s="6" t="n">
        <f aca="false">B23+D23+F23</f>
        <v>0</v>
      </c>
    </row>
    <row r="24" customFormat="false" ht="15" hidden="false" customHeight="true" outlineLevel="0" collapsed="false">
      <c r="A24" s="5" t="s">
        <v>29</v>
      </c>
      <c r="B24" s="6" t="n">
        <f aca="false">SUMIFS('TNS-HDFC 7278'!E:E,'TNS-HDFC 7278'!A:A,A24,'TNS-HDFC 7278'!C:C,"UPI")</f>
        <v>0</v>
      </c>
      <c r="C24" s="6" t="n">
        <f aca="false">SUMIFS('TNS-HDFC 7278'!D:D,'TNS-HDFC 7278'!A:A,A24,'TNS-HDFC 7278'!C:C,"UPI")</f>
        <v>0</v>
      </c>
      <c r="D24" s="6" t="n">
        <f aca="false">SUMIFS('Nagarajan-HDFC 6393'!E:E,'Nagarajan-HDFC 6393'!A:A,A24,'Nagarajan-HDFC 6393'!C:C,"UPI")</f>
        <v>680</v>
      </c>
      <c r="E24" s="6" t="n">
        <f aca="false">SUMIFS('Nagarajan-HDFC 6393'!D:D,'Nagarajan-HDFC 6393'!A:A,A24,'Nagarajan-HDFC 6393'!C:C,"UPI")</f>
        <v>781</v>
      </c>
      <c r="F24" s="6" t="n">
        <f aca="false">SUMIFS('Nagarajan-ICICI 0314'!E:E,'Nagarajan-ICICI 0314'!A:A,A24,'Nagarajan-ICICI 0314'!C:C,"UPI")</f>
        <v>0</v>
      </c>
      <c r="G24" s="6" t="n">
        <f aca="false">SUMIFS('Nagarajan-ICICI 0314'!D:D,'Nagarajan-ICICI 0314'!A:A,A24,'Nagarajan-ICICI 0314'!C:C,"UPI")</f>
        <v>0</v>
      </c>
      <c r="H24" s="6" t="n">
        <f aca="false">B24+D24+F24</f>
        <v>680</v>
      </c>
    </row>
    <row r="25" customFormat="false" ht="15" hidden="false" customHeight="true" outlineLevel="0" collapsed="false">
      <c r="A25" s="5" t="s">
        <v>30</v>
      </c>
      <c r="B25" s="6" t="n">
        <f aca="false">SUMIFS('TNS-HDFC 7278'!E:E,'TNS-HDFC 7278'!A:A,A25,'TNS-HDFC 7278'!C:C,"UPI")</f>
        <v>0</v>
      </c>
      <c r="C25" s="6" t="n">
        <f aca="false">SUMIFS('TNS-HDFC 7278'!D:D,'TNS-HDFC 7278'!A:A,A25,'TNS-HDFC 7278'!C:C,"UPI")</f>
        <v>0</v>
      </c>
      <c r="D25" s="6" t="n">
        <f aca="false">SUMIFS('Nagarajan-HDFC 6393'!E:E,'Nagarajan-HDFC 6393'!A:A,A25,'Nagarajan-HDFC 6393'!C:C,"UPI")</f>
        <v>870</v>
      </c>
      <c r="E25" s="6" t="n">
        <f aca="false">SUMIFS('Nagarajan-HDFC 6393'!D:D,'Nagarajan-HDFC 6393'!A:A,A25,'Nagarajan-HDFC 6393'!C:C,"UPI")</f>
        <v>450</v>
      </c>
      <c r="F25" s="6" t="n">
        <f aca="false">SUMIFS('Nagarajan-ICICI 0314'!E:E,'Nagarajan-ICICI 0314'!A:A,A25,'Nagarajan-ICICI 0314'!C:C,"UPI")</f>
        <v>0</v>
      </c>
      <c r="G25" s="6" t="n">
        <f aca="false">SUMIFS('Nagarajan-ICICI 0314'!D:D,'Nagarajan-ICICI 0314'!A:A,A25,'Nagarajan-ICICI 0314'!C:C,"UPI")</f>
        <v>0</v>
      </c>
      <c r="H25" s="6" t="n">
        <f aca="false">B25+D25+F25</f>
        <v>870</v>
      </c>
    </row>
    <row r="26" customFormat="false" ht="15" hidden="false" customHeight="true" outlineLevel="0" collapsed="false">
      <c r="A26" s="5" t="s">
        <v>31</v>
      </c>
      <c r="B26" s="6" t="n">
        <f aca="false">SUMIFS('TNS-HDFC 7278'!E:E,'TNS-HDFC 7278'!A:A,A26,'TNS-HDFC 7278'!C:C,"UPI")</f>
        <v>0</v>
      </c>
      <c r="C26" s="6" t="n">
        <f aca="false">SUMIFS('TNS-HDFC 7278'!D:D,'TNS-HDFC 7278'!A:A,A26,'TNS-HDFC 7278'!C:C,"UPI")</f>
        <v>0</v>
      </c>
      <c r="D26" s="6" t="n">
        <f aca="false">SUMIFS('Nagarajan-HDFC 6393'!E:E,'Nagarajan-HDFC 6393'!A:A,A26,'Nagarajan-HDFC 6393'!C:C,"UPI")</f>
        <v>0</v>
      </c>
      <c r="E26" s="6" t="n">
        <f aca="false">SUMIFS('Nagarajan-HDFC 6393'!D:D,'Nagarajan-HDFC 6393'!A:A,A26,'Nagarajan-HDFC 6393'!C:C,"UPI")</f>
        <v>12900</v>
      </c>
      <c r="F26" s="6" t="n">
        <f aca="false">SUMIFS('Nagarajan-ICICI 0314'!E:E,'Nagarajan-ICICI 0314'!A:A,A26,'Nagarajan-ICICI 0314'!C:C,"UPI")</f>
        <v>0</v>
      </c>
      <c r="G26" s="6" t="n">
        <f aca="false">SUMIFS('Nagarajan-ICICI 0314'!D:D,'Nagarajan-ICICI 0314'!A:A,A26,'Nagarajan-ICICI 0314'!C:C,"UPI")</f>
        <v>0</v>
      </c>
      <c r="H26" s="6" t="n">
        <f aca="false">B26+D26+F26</f>
        <v>0</v>
      </c>
    </row>
    <row r="27" customFormat="false" ht="15" hidden="false" customHeight="true" outlineLevel="0" collapsed="false">
      <c r="A27" s="5" t="s">
        <v>32</v>
      </c>
      <c r="B27" s="6" t="n">
        <f aca="false">SUMIFS('TNS-HDFC 7278'!E:E,'TNS-HDFC 7278'!A:A,A27,'TNS-HDFC 7278'!C:C,"UPI")</f>
        <v>0</v>
      </c>
      <c r="C27" s="6" t="n">
        <f aca="false">SUMIFS('TNS-HDFC 7278'!D:D,'TNS-HDFC 7278'!A:A,A27,'TNS-HDFC 7278'!C:C,"UPI")</f>
        <v>0</v>
      </c>
      <c r="D27" s="6" t="n">
        <f aca="false">SUMIFS('Nagarajan-HDFC 6393'!E:E,'Nagarajan-HDFC 6393'!A:A,A27,'Nagarajan-HDFC 6393'!C:C,"UPI")</f>
        <v>1000</v>
      </c>
      <c r="E27" s="6" t="n">
        <f aca="false">SUMIFS('Nagarajan-HDFC 6393'!D:D,'Nagarajan-HDFC 6393'!A:A,A27,'Nagarajan-HDFC 6393'!C:C,"UPI")</f>
        <v>57789</v>
      </c>
      <c r="F27" s="6" t="n">
        <f aca="false">SUMIFS('Nagarajan-ICICI 0314'!E:E,'Nagarajan-ICICI 0314'!A:A,A27,'Nagarajan-ICICI 0314'!C:C,"UPI")</f>
        <v>0</v>
      </c>
      <c r="G27" s="6" t="n">
        <f aca="false">SUMIFS('Nagarajan-ICICI 0314'!D:D,'Nagarajan-ICICI 0314'!A:A,A27,'Nagarajan-ICICI 0314'!C:C,"UPI")</f>
        <v>99200</v>
      </c>
      <c r="H27" s="6" t="n">
        <f aca="false">B27+D27+F27</f>
        <v>1000</v>
      </c>
    </row>
    <row r="28" customFormat="false" ht="15" hidden="false" customHeight="true" outlineLevel="0" collapsed="false">
      <c r="A28" s="5" t="s">
        <v>33</v>
      </c>
      <c r="B28" s="6" t="n">
        <f aca="false">SUMIFS('TNS-HDFC 7278'!E:E,'TNS-HDFC 7278'!A:A,A28,'TNS-HDFC 7278'!C:C,"UPI")</f>
        <v>0</v>
      </c>
      <c r="C28" s="6" t="n">
        <f aca="false">SUMIFS('TNS-HDFC 7278'!D:D,'TNS-HDFC 7278'!A:A,A28,'TNS-HDFC 7278'!C:C,"UPI")</f>
        <v>0</v>
      </c>
      <c r="D28" s="6" t="n">
        <f aca="false">SUMIFS('Nagarajan-HDFC 6393'!E:E,'Nagarajan-HDFC 6393'!A:A,A28,'Nagarajan-HDFC 6393'!C:C,"UPI")</f>
        <v>0</v>
      </c>
      <c r="E28" s="6" t="n">
        <f aca="false">SUMIFS('Nagarajan-HDFC 6393'!D:D,'Nagarajan-HDFC 6393'!A:A,A28,'Nagarajan-HDFC 6393'!C:C,"UPI")</f>
        <v>145</v>
      </c>
      <c r="F28" s="6" t="n">
        <f aca="false">SUMIFS('Nagarajan-ICICI 0314'!E:E,'Nagarajan-ICICI 0314'!A:A,A28,'Nagarajan-ICICI 0314'!C:C,"UPI")</f>
        <v>0</v>
      </c>
      <c r="G28" s="6" t="n">
        <f aca="false">SUMIFS('Nagarajan-ICICI 0314'!D:D,'Nagarajan-ICICI 0314'!A:A,A28,'Nagarajan-ICICI 0314'!C:C,"UPI")</f>
        <v>0</v>
      </c>
      <c r="H28" s="6" t="n">
        <f aca="false">B28+D28+F28</f>
        <v>0</v>
      </c>
    </row>
    <row r="29" customFormat="false" ht="15" hidden="false" customHeight="true" outlineLevel="0" collapsed="false">
      <c r="A29" s="5" t="s">
        <v>34</v>
      </c>
      <c r="B29" s="6" t="n">
        <f aca="false">SUMIFS('TNS-HDFC 7278'!E:E,'TNS-HDFC 7278'!A:A,A29,'TNS-HDFC 7278'!C:C,"UPI")</f>
        <v>0</v>
      </c>
      <c r="C29" s="6" t="n">
        <f aca="false">SUMIFS('TNS-HDFC 7278'!D:D,'TNS-HDFC 7278'!A:A,A29,'TNS-HDFC 7278'!C:C,"UPI")</f>
        <v>0</v>
      </c>
      <c r="D29" s="6" t="n">
        <f aca="false">SUMIFS('Nagarajan-HDFC 6393'!E:E,'Nagarajan-HDFC 6393'!A:A,A29,'Nagarajan-HDFC 6393'!C:C,"UPI")</f>
        <v>0</v>
      </c>
      <c r="E29" s="6" t="n">
        <f aca="false">SUMIFS('Nagarajan-HDFC 6393'!D:D,'Nagarajan-HDFC 6393'!A:A,A29,'Nagarajan-HDFC 6393'!C:C,"UPI")</f>
        <v>9810</v>
      </c>
      <c r="F29" s="6" t="n">
        <f aca="false">SUMIFS('Nagarajan-ICICI 0314'!E:E,'Nagarajan-ICICI 0314'!A:A,A29,'Nagarajan-ICICI 0314'!C:C,"UPI")</f>
        <v>0</v>
      </c>
      <c r="G29" s="6" t="n">
        <f aca="false">SUMIFS('Nagarajan-ICICI 0314'!D:D,'Nagarajan-ICICI 0314'!A:A,A29,'Nagarajan-ICICI 0314'!C:C,"UPI")</f>
        <v>0</v>
      </c>
      <c r="H29" s="6" t="n">
        <f aca="false">B29+D29+F29</f>
        <v>0</v>
      </c>
    </row>
    <row r="30" customFormat="false" ht="15" hidden="false" customHeight="true" outlineLevel="0" collapsed="false">
      <c r="A30" s="5" t="s">
        <v>35</v>
      </c>
      <c r="B30" s="6" t="n">
        <f aca="false">SUMIFS('TNS-HDFC 7278'!E:E,'TNS-HDFC 7278'!A:A,A30,'TNS-HDFC 7278'!C:C,"UPI")</f>
        <v>0</v>
      </c>
      <c r="C30" s="6" t="n">
        <f aca="false">SUMIFS('TNS-HDFC 7278'!D:D,'TNS-HDFC 7278'!A:A,A30,'TNS-HDFC 7278'!C:C,"UPI")</f>
        <v>0</v>
      </c>
      <c r="D30" s="6" t="n">
        <f aca="false">SUMIFS('Nagarajan-HDFC 6393'!E:E,'Nagarajan-HDFC 6393'!A:A,A30,'Nagarajan-HDFC 6393'!C:C,"UPI")</f>
        <v>0</v>
      </c>
      <c r="E30" s="6" t="n">
        <f aca="false">SUMIFS('Nagarajan-HDFC 6393'!D:D,'Nagarajan-HDFC 6393'!A:A,A30,'Nagarajan-HDFC 6393'!C:C,"UPI")</f>
        <v>250</v>
      </c>
      <c r="F30" s="6" t="n">
        <f aca="false">SUMIFS('Nagarajan-ICICI 0314'!E:E,'Nagarajan-ICICI 0314'!A:A,A30,'Nagarajan-ICICI 0314'!C:C,"UPI")</f>
        <v>0</v>
      </c>
      <c r="G30" s="6" t="n">
        <f aca="false">SUMIFS('Nagarajan-ICICI 0314'!D:D,'Nagarajan-ICICI 0314'!A:A,A30,'Nagarajan-ICICI 0314'!C:C,"UPI")</f>
        <v>0</v>
      </c>
      <c r="H30" s="6" t="n">
        <f aca="false">B30+D30+F30</f>
        <v>0</v>
      </c>
    </row>
    <row r="31" customFormat="false" ht="15" hidden="false" customHeight="true" outlineLevel="0" collapsed="false">
      <c r="A31" s="5" t="s">
        <v>36</v>
      </c>
      <c r="B31" s="6" t="n">
        <f aca="false">SUMIFS('TNS-HDFC 7278'!E:E,'TNS-HDFC 7278'!A:A,A31,'TNS-HDFC 7278'!C:C,"UPI")</f>
        <v>0</v>
      </c>
      <c r="C31" s="6" t="n">
        <f aca="false">SUMIFS('TNS-HDFC 7278'!D:D,'TNS-HDFC 7278'!A:A,A31,'TNS-HDFC 7278'!C:C,"UPI")</f>
        <v>0</v>
      </c>
      <c r="D31" s="6" t="n">
        <f aca="false">SUMIFS('Nagarajan-HDFC 6393'!E:E,'Nagarajan-HDFC 6393'!A:A,A31,'Nagarajan-HDFC 6393'!C:C,"UPI")</f>
        <v>1320</v>
      </c>
      <c r="E31" s="6" t="n">
        <f aca="false">SUMIFS('Nagarajan-HDFC 6393'!D:D,'Nagarajan-HDFC 6393'!A:A,A31,'Nagarajan-HDFC 6393'!C:C,"UPI")</f>
        <v>3600</v>
      </c>
      <c r="F31" s="6" t="n">
        <f aca="false">SUMIFS('Nagarajan-ICICI 0314'!E:E,'Nagarajan-ICICI 0314'!A:A,A31,'Nagarajan-ICICI 0314'!C:C,"UPI")</f>
        <v>0</v>
      </c>
      <c r="G31" s="6" t="n">
        <f aca="false">SUMIFS('Nagarajan-ICICI 0314'!D:D,'Nagarajan-ICICI 0314'!A:A,A31,'Nagarajan-ICICI 0314'!C:C,"UPI")</f>
        <v>0</v>
      </c>
      <c r="H31" s="6" t="n">
        <f aca="false">B31+D31+F31</f>
        <v>1320</v>
      </c>
    </row>
    <row r="32" customFormat="false" ht="15" hidden="false" customHeight="true" outlineLevel="0" collapsed="false">
      <c r="A32" s="5" t="s">
        <v>37</v>
      </c>
      <c r="B32" s="6" t="n">
        <f aca="false">SUMIFS('TNS-HDFC 7278'!E:E,'TNS-HDFC 7278'!A:A,A32,'TNS-HDFC 7278'!C:C,"UPI")</f>
        <v>0</v>
      </c>
      <c r="C32" s="6" t="n">
        <f aca="false">SUMIFS('TNS-HDFC 7278'!D:D,'TNS-HDFC 7278'!A:A,A32,'TNS-HDFC 7278'!C:C,"UPI")</f>
        <v>0</v>
      </c>
      <c r="D32" s="6" t="n">
        <f aca="false">SUMIFS('Nagarajan-HDFC 6393'!E:E,'Nagarajan-HDFC 6393'!A:A,A32,'Nagarajan-HDFC 6393'!C:C,"UPI")</f>
        <v>0</v>
      </c>
      <c r="E32" s="6" t="n">
        <f aca="false">SUMIFS('Nagarajan-HDFC 6393'!D:D,'Nagarajan-HDFC 6393'!A:A,A32,'Nagarajan-HDFC 6393'!C:C,"UPI")</f>
        <v>5400</v>
      </c>
      <c r="F32" s="6" t="n">
        <f aca="false">SUMIFS('Nagarajan-ICICI 0314'!E:E,'Nagarajan-ICICI 0314'!A:A,A32,'Nagarajan-ICICI 0314'!C:C,"UPI")</f>
        <v>0</v>
      </c>
      <c r="G32" s="6" t="n">
        <f aca="false">SUMIFS('Nagarajan-ICICI 0314'!D:D,'Nagarajan-ICICI 0314'!A:A,A32,'Nagarajan-ICICI 0314'!C:C,"UPI")</f>
        <v>0</v>
      </c>
      <c r="H32" s="6" t="n">
        <f aca="false">B32+D32+F32</f>
        <v>0</v>
      </c>
    </row>
    <row r="33" customFormat="false" ht="15" hidden="false" customHeight="true" outlineLevel="0" collapsed="false">
      <c r="A33" s="5" t="s">
        <v>38</v>
      </c>
      <c r="B33" s="6" t="n">
        <f aca="false">SUMIFS('TNS-HDFC 7278'!E:E,'TNS-HDFC 7278'!A:A,A33,'TNS-HDFC 7278'!C:C,"UPI")</f>
        <v>0</v>
      </c>
      <c r="C33" s="6" t="n">
        <f aca="false">SUMIFS('TNS-HDFC 7278'!D:D,'TNS-HDFC 7278'!A:A,A33,'TNS-HDFC 7278'!C:C,"UPI")</f>
        <v>0</v>
      </c>
      <c r="D33" s="6" t="n">
        <f aca="false">SUMIFS('Nagarajan-HDFC 6393'!E:E,'Nagarajan-HDFC 6393'!A:A,A33,'Nagarajan-HDFC 6393'!C:C,"UPI")</f>
        <v>2750</v>
      </c>
      <c r="E33" s="6" t="n">
        <f aca="false">SUMIFS('Nagarajan-HDFC 6393'!D:D,'Nagarajan-HDFC 6393'!A:A,A33,'Nagarajan-HDFC 6393'!C:C,"UPI")</f>
        <v>430</v>
      </c>
      <c r="F33" s="6" t="n">
        <f aca="false">SUMIFS('Nagarajan-ICICI 0314'!E:E,'Nagarajan-ICICI 0314'!A:A,A33,'Nagarajan-ICICI 0314'!C:C,"UPI")</f>
        <v>0</v>
      </c>
      <c r="G33" s="6" t="n">
        <f aca="false">SUMIFS('Nagarajan-ICICI 0314'!D:D,'Nagarajan-ICICI 0314'!A:A,A33,'Nagarajan-ICICI 0314'!C:C,"UPI")</f>
        <v>0</v>
      </c>
      <c r="H33" s="6" t="n">
        <f aca="false">B33+D33+F33</f>
        <v>2750</v>
      </c>
    </row>
    <row r="34" customFormat="false" ht="15" hidden="false" customHeight="true" outlineLevel="0" collapsed="false">
      <c r="A34" s="5" t="s">
        <v>39</v>
      </c>
      <c r="B34" s="6" t="n">
        <f aca="false">SUMIFS('TNS-HDFC 7278'!E:E,'TNS-HDFC 7278'!A:A,A34,'TNS-HDFC 7278'!C:C,"UPI")</f>
        <v>0</v>
      </c>
      <c r="C34" s="6" t="n">
        <f aca="false">SUMIFS('TNS-HDFC 7278'!D:D,'TNS-HDFC 7278'!A:A,A34,'TNS-HDFC 7278'!C:C,"UPI")</f>
        <v>0</v>
      </c>
      <c r="D34" s="6" t="n">
        <f aca="false">SUMIFS('Nagarajan-HDFC 6393'!E:E,'Nagarajan-HDFC 6393'!A:A,A34,'Nagarajan-HDFC 6393'!C:C,"UPI")</f>
        <v>0</v>
      </c>
      <c r="E34" s="6" t="n">
        <f aca="false">SUMIFS('Nagarajan-HDFC 6393'!D:D,'Nagarajan-HDFC 6393'!A:A,A34,'Nagarajan-HDFC 6393'!C:C,"UPI")</f>
        <v>12000</v>
      </c>
      <c r="F34" s="6" t="n">
        <f aca="false">SUMIFS('Nagarajan-ICICI 0314'!E:E,'Nagarajan-ICICI 0314'!A:A,A34,'Nagarajan-ICICI 0314'!C:C,"UPI")</f>
        <v>0</v>
      </c>
      <c r="G34" s="6" t="n">
        <f aca="false">SUMIFS('Nagarajan-ICICI 0314'!D:D,'Nagarajan-ICICI 0314'!A:A,A34,'Nagarajan-ICICI 0314'!C:C,"UPI")</f>
        <v>0</v>
      </c>
      <c r="H34" s="6" t="n">
        <f aca="false">B34+D34+F34</f>
        <v>0</v>
      </c>
    </row>
    <row r="35" customFormat="false" ht="15" hidden="false" customHeight="true" outlineLevel="0" collapsed="false">
      <c r="A35" s="5" t="s">
        <v>40</v>
      </c>
      <c r="B35" s="6" t="n">
        <f aca="false">SUMIFS('TNS-HDFC 7278'!E:E,'TNS-HDFC 7278'!A:A,A35,'TNS-HDFC 7278'!C:C,"UPI")</f>
        <v>0</v>
      </c>
      <c r="C35" s="6" t="n">
        <f aca="false">SUMIFS('TNS-HDFC 7278'!D:D,'TNS-HDFC 7278'!A:A,A35,'TNS-HDFC 7278'!C:C,"UPI")</f>
        <v>0</v>
      </c>
      <c r="D35" s="6" t="n">
        <f aca="false">SUMIFS('Nagarajan-HDFC 6393'!E:E,'Nagarajan-HDFC 6393'!A:A,A35,'Nagarajan-HDFC 6393'!C:C,"UPI")</f>
        <v>130</v>
      </c>
      <c r="E35" s="6" t="n">
        <f aca="false">SUMIFS('Nagarajan-HDFC 6393'!D:D,'Nagarajan-HDFC 6393'!A:A,A35,'Nagarajan-HDFC 6393'!C:C,"UPI")</f>
        <v>550</v>
      </c>
      <c r="F35" s="6" t="n">
        <f aca="false">SUMIFS('Nagarajan-ICICI 0314'!E:E,'Nagarajan-ICICI 0314'!A:A,A35,'Nagarajan-ICICI 0314'!C:C,"UPI")</f>
        <v>0</v>
      </c>
      <c r="G35" s="6" t="n">
        <f aca="false">SUMIFS('Nagarajan-ICICI 0314'!D:D,'Nagarajan-ICICI 0314'!A:A,A35,'Nagarajan-ICICI 0314'!C:C,"UPI")</f>
        <v>0</v>
      </c>
      <c r="H35" s="6" t="n">
        <f aca="false">B35+D35+F35</f>
        <v>130</v>
      </c>
    </row>
    <row r="36" customFormat="false" ht="15" hidden="false" customHeight="true" outlineLevel="0" collapsed="false">
      <c r="A36" s="5" t="s">
        <v>41</v>
      </c>
      <c r="B36" s="6" t="n">
        <f aca="false">SUMIFS('TNS-HDFC 7278'!E:E,'TNS-HDFC 7278'!A:A,A36,'TNS-HDFC 7278'!C:C,"UPI")</f>
        <v>0</v>
      </c>
      <c r="C36" s="6" t="n">
        <f aca="false">SUMIFS('TNS-HDFC 7278'!D:D,'TNS-HDFC 7278'!A:A,A36,'TNS-HDFC 7278'!C:C,"UPI")</f>
        <v>0</v>
      </c>
      <c r="D36" s="6" t="n">
        <f aca="false">SUMIFS('Nagarajan-HDFC 6393'!E:E,'Nagarajan-HDFC 6393'!A:A,A36,'Nagarajan-HDFC 6393'!C:C,"UPI")</f>
        <v>0</v>
      </c>
      <c r="E36" s="6" t="n">
        <f aca="false">SUMIFS('Nagarajan-HDFC 6393'!D:D,'Nagarajan-HDFC 6393'!A:A,A36,'Nagarajan-HDFC 6393'!C:C,"UPI")</f>
        <v>3650</v>
      </c>
      <c r="F36" s="6" t="n">
        <f aca="false">SUMIFS('Nagarajan-ICICI 0314'!E:E,'Nagarajan-ICICI 0314'!A:A,A36,'Nagarajan-ICICI 0314'!C:C,"UPI")</f>
        <v>0</v>
      </c>
      <c r="G36" s="6" t="n">
        <f aca="false">SUMIFS('Nagarajan-ICICI 0314'!D:D,'Nagarajan-ICICI 0314'!A:A,A36,'Nagarajan-ICICI 0314'!C:C,"UPI")</f>
        <v>0</v>
      </c>
      <c r="H36" s="6" t="n">
        <f aca="false">B36+D36+F36</f>
        <v>0</v>
      </c>
    </row>
    <row r="37" customFormat="false" ht="15" hidden="false" customHeight="true" outlineLevel="0" collapsed="false">
      <c r="A37" s="5" t="s">
        <v>42</v>
      </c>
      <c r="B37" s="6" t="n">
        <f aca="false">SUMIFS('TNS-HDFC 7278'!E:E,'TNS-HDFC 7278'!A:A,A37,'TNS-HDFC 7278'!C:C,"UPI")</f>
        <v>0</v>
      </c>
      <c r="C37" s="6" t="n">
        <f aca="false">SUMIFS('TNS-HDFC 7278'!D:D,'TNS-HDFC 7278'!A:A,A37,'TNS-HDFC 7278'!C:C,"UPI")</f>
        <v>0</v>
      </c>
      <c r="D37" s="6" t="n">
        <f aca="false">SUMIFS('Nagarajan-HDFC 6393'!E:E,'Nagarajan-HDFC 6393'!A:A,A37,'Nagarajan-HDFC 6393'!C:C,"UPI")</f>
        <v>4000</v>
      </c>
      <c r="E37" s="6" t="n">
        <f aca="false">SUMIFS('Nagarajan-HDFC 6393'!D:D,'Nagarajan-HDFC 6393'!A:A,A37,'Nagarajan-HDFC 6393'!C:C,"UPI")</f>
        <v>100</v>
      </c>
      <c r="F37" s="6" t="n">
        <f aca="false">SUMIFS('Nagarajan-ICICI 0314'!E:E,'Nagarajan-ICICI 0314'!A:A,A37,'Nagarajan-ICICI 0314'!C:C,"UPI")</f>
        <v>0</v>
      </c>
      <c r="G37" s="6" t="n">
        <f aca="false">SUMIFS('Nagarajan-ICICI 0314'!D:D,'Nagarajan-ICICI 0314'!A:A,A37,'Nagarajan-ICICI 0314'!C:C,"UPI")</f>
        <v>3985</v>
      </c>
      <c r="H37" s="6" t="n">
        <f aca="false">B37+D37+F37</f>
        <v>4000</v>
      </c>
    </row>
    <row r="38" customFormat="false" ht="15" hidden="false" customHeight="true" outlineLevel="0" collapsed="false">
      <c r="A38" s="5" t="s">
        <v>43</v>
      </c>
      <c r="B38" s="6" t="n">
        <f aca="false">SUMIFS('TNS-HDFC 7278'!E:E,'TNS-HDFC 7278'!A:A,A38,'TNS-HDFC 7278'!C:C,"UPI")</f>
        <v>0</v>
      </c>
      <c r="C38" s="6" t="n">
        <f aca="false">SUMIFS('TNS-HDFC 7278'!D:D,'TNS-HDFC 7278'!A:A,A38,'TNS-HDFC 7278'!C:C,"UPI")</f>
        <v>0</v>
      </c>
      <c r="D38" s="6" t="n">
        <f aca="false">SUMIFS('Nagarajan-HDFC 6393'!E:E,'Nagarajan-HDFC 6393'!A:A,A38,'Nagarajan-HDFC 6393'!C:C,"UPI")</f>
        <v>2040</v>
      </c>
      <c r="E38" s="6" t="n">
        <f aca="false">SUMIFS('Nagarajan-HDFC 6393'!D:D,'Nagarajan-HDFC 6393'!A:A,A38,'Nagarajan-HDFC 6393'!C:C,"UPI")</f>
        <v>0</v>
      </c>
      <c r="F38" s="6" t="n">
        <f aca="false">SUMIFS('Nagarajan-ICICI 0314'!E:E,'Nagarajan-ICICI 0314'!A:A,A38,'Nagarajan-ICICI 0314'!C:C,"UPI")</f>
        <v>0</v>
      </c>
      <c r="G38" s="6" t="n">
        <f aca="false">SUMIFS('Nagarajan-ICICI 0314'!D:D,'Nagarajan-ICICI 0314'!A:A,A38,'Nagarajan-ICICI 0314'!C:C,"UPI")</f>
        <v>1250</v>
      </c>
      <c r="H38" s="6" t="n">
        <f aca="false">B38+D38+F38</f>
        <v>2040</v>
      </c>
    </row>
    <row r="39" customFormat="false" ht="15" hidden="false" customHeight="true" outlineLevel="0" collapsed="false">
      <c r="A39" s="5" t="s">
        <v>44</v>
      </c>
      <c r="B39" s="6" t="n">
        <f aca="false">SUMIFS('TNS-HDFC 7278'!E:E,'TNS-HDFC 7278'!A:A,A39,'TNS-HDFC 7278'!C:C,"UPI")</f>
        <v>0</v>
      </c>
      <c r="C39" s="6" t="n">
        <f aca="false">SUMIFS('TNS-HDFC 7278'!D:D,'TNS-HDFC 7278'!A:A,A39,'TNS-HDFC 7278'!C:C,"UPI")</f>
        <v>0</v>
      </c>
      <c r="D39" s="6" t="n">
        <f aca="false">SUMIFS('Nagarajan-HDFC 6393'!E:E,'Nagarajan-HDFC 6393'!A:A,A39,'Nagarajan-HDFC 6393'!C:C,"UPI")</f>
        <v>0</v>
      </c>
      <c r="E39" s="6" t="n">
        <f aca="false">SUMIFS('Nagarajan-HDFC 6393'!D:D,'Nagarajan-HDFC 6393'!A:A,A39,'Nagarajan-HDFC 6393'!C:C,"UPI")</f>
        <v>0</v>
      </c>
      <c r="F39" s="6" t="n">
        <f aca="false">SUMIFS('Nagarajan-ICICI 0314'!E:E,'Nagarajan-ICICI 0314'!A:A,A39,'Nagarajan-ICICI 0314'!C:C,"UPI")</f>
        <v>0</v>
      </c>
      <c r="G39" s="6" t="n">
        <f aca="false">SUMIFS('Nagarajan-ICICI 0314'!D:D,'Nagarajan-ICICI 0314'!A:A,A39,'Nagarajan-ICICI 0314'!C:C,"UPI")</f>
        <v>805</v>
      </c>
      <c r="H39" s="6" t="n">
        <f aca="false">B39+D39+F39</f>
        <v>0</v>
      </c>
    </row>
    <row r="40" customFormat="false" ht="15" hidden="false" customHeight="true" outlineLevel="0" collapsed="false">
      <c r="A40" s="5" t="s">
        <v>45</v>
      </c>
      <c r="B40" s="6" t="n">
        <f aca="false">SUMIFS('TNS-HDFC 7278'!E:E,'TNS-HDFC 7278'!A:A,A40,'TNS-HDFC 7278'!C:C,"UPI")</f>
        <v>0</v>
      </c>
      <c r="C40" s="6" t="n">
        <f aca="false">SUMIFS('TNS-HDFC 7278'!D:D,'TNS-HDFC 7278'!A:A,A40,'TNS-HDFC 7278'!C:C,"UPI")</f>
        <v>0</v>
      </c>
      <c r="D40" s="6" t="n">
        <f aca="false">SUMIFS('Nagarajan-HDFC 6393'!E:E,'Nagarajan-HDFC 6393'!A:A,A40,'Nagarajan-HDFC 6393'!C:C,"UPI")</f>
        <v>0</v>
      </c>
      <c r="E40" s="6" t="n">
        <f aca="false">SUMIFS('Nagarajan-HDFC 6393'!D:D,'Nagarajan-HDFC 6393'!A:A,A40,'Nagarajan-HDFC 6393'!C:C,"UPI")</f>
        <v>0</v>
      </c>
      <c r="F40" s="6" t="n">
        <f aca="false">SUMIFS('Nagarajan-ICICI 0314'!E:E,'Nagarajan-ICICI 0314'!A:A,A40,'Nagarajan-ICICI 0314'!C:C,"UPI")</f>
        <v>0</v>
      </c>
      <c r="G40" s="6" t="n">
        <f aca="false">SUMIFS('Nagarajan-ICICI 0314'!D:D,'Nagarajan-ICICI 0314'!A:A,A40,'Nagarajan-ICICI 0314'!C:C,"UPI")</f>
        <v>759</v>
      </c>
      <c r="H40" s="6" t="n">
        <f aca="false">B40+D40+F40</f>
        <v>0</v>
      </c>
    </row>
    <row r="41" customFormat="false" ht="15" hidden="false" customHeight="true" outlineLevel="0" collapsed="false">
      <c r="A41" s="5" t="s">
        <v>46</v>
      </c>
      <c r="B41" s="6" t="n">
        <f aca="false">SUMIFS('TNS-HDFC 7278'!E:E,'TNS-HDFC 7278'!A:A,A41,'TNS-HDFC 7278'!C:C,"UPI")</f>
        <v>221</v>
      </c>
      <c r="C41" s="6" t="n">
        <f aca="false">SUMIFS('TNS-HDFC 7278'!D:D,'TNS-HDFC 7278'!A:A,A41,'TNS-HDFC 7278'!C:C,"UPI")</f>
        <v>0</v>
      </c>
      <c r="D41" s="6" t="n">
        <f aca="false">SUMIFS('Nagarajan-HDFC 6393'!E:E,'Nagarajan-HDFC 6393'!A:A,A41,'Nagarajan-HDFC 6393'!C:C,"UPI")</f>
        <v>4284</v>
      </c>
      <c r="E41" s="6" t="n">
        <f aca="false">SUMIFS('Nagarajan-HDFC 6393'!D:D,'Nagarajan-HDFC 6393'!A:A,A41,'Nagarajan-HDFC 6393'!C:C,"UPI")</f>
        <v>0</v>
      </c>
      <c r="F41" s="6" t="n">
        <f aca="false">SUMIFS('Nagarajan-ICICI 0314'!E:E,'Nagarajan-ICICI 0314'!A:A,A41,'Nagarajan-ICICI 0314'!C:C,"UPI")</f>
        <v>0</v>
      </c>
      <c r="G41" s="6" t="n">
        <f aca="false">SUMIFS('Nagarajan-ICICI 0314'!D:D,'Nagarajan-ICICI 0314'!A:A,A41,'Nagarajan-ICICI 0314'!C:C,"UPI")</f>
        <v>9794</v>
      </c>
      <c r="H41" s="6" t="n">
        <f aca="false">B41+D41+F41</f>
        <v>4505</v>
      </c>
    </row>
    <row r="42" customFormat="false" ht="15" hidden="false" customHeight="true" outlineLevel="0" collapsed="false">
      <c r="A42" s="5" t="s">
        <v>47</v>
      </c>
      <c r="B42" s="6" t="n">
        <f aca="false">SUMIFS('TNS-HDFC 7278'!E:E,'TNS-HDFC 7278'!A:A,A42,'TNS-HDFC 7278'!C:C,"UPI")</f>
        <v>0</v>
      </c>
      <c r="C42" s="6" t="n">
        <f aca="false">SUMIFS('TNS-HDFC 7278'!D:D,'TNS-HDFC 7278'!A:A,A42,'TNS-HDFC 7278'!C:C,"UPI")</f>
        <v>0</v>
      </c>
      <c r="D42" s="6" t="n">
        <f aca="false">SUMIFS('Nagarajan-HDFC 6393'!E:E,'Nagarajan-HDFC 6393'!A:A,A42,'Nagarajan-HDFC 6393'!C:C,"UPI")</f>
        <v>0</v>
      </c>
      <c r="E42" s="6" t="n">
        <f aca="false">SUMIFS('Nagarajan-HDFC 6393'!D:D,'Nagarajan-HDFC 6393'!A:A,A42,'Nagarajan-HDFC 6393'!C:C,"UPI")</f>
        <v>0</v>
      </c>
      <c r="F42" s="6" t="n">
        <f aca="false">SUMIFS('Nagarajan-ICICI 0314'!E:E,'Nagarajan-ICICI 0314'!A:A,A42,'Nagarajan-ICICI 0314'!C:C,"UPI")</f>
        <v>0</v>
      </c>
      <c r="G42" s="6" t="n">
        <f aca="false">SUMIFS('Nagarajan-ICICI 0314'!D:D,'Nagarajan-ICICI 0314'!A:A,A42,'Nagarajan-ICICI 0314'!C:C,"UPI")</f>
        <v>645</v>
      </c>
      <c r="H42" s="6" t="n">
        <f aca="false">B42+D42+F42</f>
        <v>0</v>
      </c>
    </row>
    <row r="43" customFormat="false" ht="15" hidden="false" customHeight="true" outlineLevel="0" collapsed="false">
      <c r="A43" s="5" t="s">
        <v>48</v>
      </c>
      <c r="B43" s="6" t="n">
        <f aca="false">SUMIFS('TNS-HDFC 7278'!E:E,'TNS-HDFC 7278'!A:A,A43,'TNS-HDFC 7278'!C:C,"UPI")</f>
        <v>0</v>
      </c>
      <c r="C43" s="6" t="n">
        <f aca="false">SUMIFS('TNS-HDFC 7278'!D:D,'TNS-HDFC 7278'!A:A,A43,'TNS-HDFC 7278'!C:C,"UPI")</f>
        <v>0</v>
      </c>
      <c r="D43" s="6" t="n">
        <f aca="false">SUMIFS('Nagarajan-HDFC 6393'!E:E,'Nagarajan-HDFC 6393'!A:A,A43,'Nagarajan-HDFC 6393'!C:C,"UPI")</f>
        <v>1500</v>
      </c>
      <c r="E43" s="6" t="n">
        <f aca="false">SUMIFS('Nagarajan-HDFC 6393'!D:D,'Nagarajan-HDFC 6393'!A:A,A43,'Nagarajan-HDFC 6393'!C:C,"UPI")</f>
        <v>0</v>
      </c>
      <c r="F43" s="6" t="n">
        <f aca="false">SUMIFS('Nagarajan-ICICI 0314'!E:E,'Nagarajan-ICICI 0314'!A:A,A43,'Nagarajan-ICICI 0314'!C:C,"UPI")</f>
        <v>0</v>
      </c>
      <c r="G43" s="6" t="n">
        <f aca="false">SUMIFS('Nagarajan-ICICI 0314'!D:D,'Nagarajan-ICICI 0314'!A:A,A43,'Nagarajan-ICICI 0314'!C:C,"UPI")</f>
        <v>535</v>
      </c>
      <c r="H43" s="6" t="n">
        <f aca="false">B43+D43+F43</f>
        <v>1500</v>
      </c>
    </row>
    <row r="44" customFormat="false" ht="15" hidden="false" customHeight="true" outlineLevel="0" collapsed="false">
      <c r="A44" s="5" t="s">
        <v>49</v>
      </c>
      <c r="B44" s="6" t="n">
        <f aca="false">SUMIFS('TNS-HDFC 7278'!E:E,'TNS-HDFC 7278'!A:A,A44,'TNS-HDFC 7278'!C:C,"UPI")</f>
        <v>0</v>
      </c>
      <c r="C44" s="6" t="n">
        <f aca="false">SUMIFS('TNS-HDFC 7278'!D:D,'TNS-HDFC 7278'!A:A,A44,'TNS-HDFC 7278'!C:C,"UPI")</f>
        <v>0</v>
      </c>
      <c r="D44" s="6" t="n">
        <f aca="false">SUMIFS('Nagarajan-HDFC 6393'!E:E,'Nagarajan-HDFC 6393'!A:A,A44,'Nagarajan-HDFC 6393'!C:C,"UPI")</f>
        <v>1150</v>
      </c>
      <c r="E44" s="6" t="n">
        <f aca="false">SUMIFS('Nagarajan-HDFC 6393'!D:D,'Nagarajan-HDFC 6393'!A:A,A44,'Nagarajan-HDFC 6393'!C:C,"UPI")</f>
        <v>0</v>
      </c>
      <c r="F44" s="6" t="n">
        <f aca="false">SUMIFS('Nagarajan-ICICI 0314'!E:E,'Nagarajan-ICICI 0314'!A:A,A44,'Nagarajan-ICICI 0314'!C:C,"UPI")</f>
        <v>0</v>
      </c>
      <c r="G44" s="6" t="n">
        <f aca="false">SUMIFS('Nagarajan-ICICI 0314'!D:D,'Nagarajan-ICICI 0314'!A:A,A44,'Nagarajan-ICICI 0314'!C:C,"UPI")</f>
        <v>1080</v>
      </c>
      <c r="H44" s="6" t="n">
        <f aca="false">B44+D44+F44</f>
        <v>1150</v>
      </c>
    </row>
    <row r="45" customFormat="false" ht="15" hidden="false" customHeight="true" outlineLevel="0" collapsed="false">
      <c r="A45" s="5" t="s">
        <v>50</v>
      </c>
      <c r="B45" s="6" t="n">
        <f aca="false">SUMIFS('TNS-HDFC 7278'!E:E,'TNS-HDFC 7278'!A:A,A45,'TNS-HDFC 7278'!C:C,"UPI")</f>
        <v>2600</v>
      </c>
      <c r="C45" s="6" t="n">
        <f aca="false">SUMIFS('TNS-HDFC 7278'!D:D,'TNS-HDFC 7278'!A:A,A45,'TNS-HDFC 7278'!C:C,"UPI")</f>
        <v>0</v>
      </c>
      <c r="D45" s="6" t="n">
        <f aca="false">SUMIFS('Nagarajan-HDFC 6393'!E:E,'Nagarajan-HDFC 6393'!A:A,A45,'Nagarajan-HDFC 6393'!C:C,"UPI")</f>
        <v>0</v>
      </c>
      <c r="E45" s="6" t="n">
        <f aca="false">SUMIFS('Nagarajan-HDFC 6393'!D:D,'Nagarajan-HDFC 6393'!A:A,A45,'Nagarajan-HDFC 6393'!C:C,"UPI")</f>
        <v>0</v>
      </c>
      <c r="F45" s="6" t="n">
        <f aca="false">SUMIFS('Nagarajan-ICICI 0314'!E:E,'Nagarajan-ICICI 0314'!A:A,A45,'Nagarajan-ICICI 0314'!C:C,"UPI")</f>
        <v>0</v>
      </c>
      <c r="G45" s="6" t="n">
        <f aca="false">SUMIFS('Nagarajan-ICICI 0314'!D:D,'Nagarajan-ICICI 0314'!A:A,A45,'Nagarajan-ICICI 0314'!C:C,"UPI")</f>
        <v>12040</v>
      </c>
      <c r="H45" s="6" t="n">
        <f aca="false">B45+D45+F45</f>
        <v>2600</v>
      </c>
    </row>
    <row r="46" customFormat="false" ht="15" hidden="false" customHeight="true" outlineLevel="0" collapsed="false">
      <c r="A46" s="5" t="s">
        <v>51</v>
      </c>
      <c r="B46" s="6" t="n">
        <f aca="false">SUMIFS('TNS-HDFC 7278'!E:E,'TNS-HDFC 7278'!A:A,A46,'TNS-HDFC 7278'!C:C,"UPI")</f>
        <v>360</v>
      </c>
      <c r="C46" s="6" t="n">
        <f aca="false">SUMIFS('TNS-HDFC 7278'!D:D,'TNS-HDFC 7278'!A:A,A46,'TNS-HDFC 7278'!C:C,"UPI")</f>
        <v>0</v>
      </c>
      <c r="D46" s="6" t="n">
        <f aca="false">SUMIFS('Nagarajan-HDFC 6393'!E:E,'Nagarajan-HDFC 6393'!A:A,A46,'Nagarajan-HDFC 6393'!C:C,"UPI")</f>
        <v>1537</v>
      </c>
      <c r="E46" s="6" t="n">
        <f aca="false">SUMIFS('Nagarajan-HDFC 6393'!D:D,'Nagarajan-HDFC 6393'!A:A,A46,'Nagarajan-HDFC 6393'!C:C,"UPI")</f>
        <v>0</v>
      </c>
      <c r="F46" s="6" t="n">
        <f aca="false">SUMIFS('Nagarajan-ICICI 0314'!E:E,'Nagarajan-ICICI 0314'!A:A,A46,'Nagarajan-ICICI 0314'!C:C,"UPI")</f>
        <v>0</v>
      </c>
      <c r="G46" s="6" t="n">
        <f aca="false">SUMIFS('Nagarajan-ICICI 0314'!D:D,'Nagarajan-ICICI 0314'!A:A,A46,'Nagarajan-ICICI 0314'!C:C,"UPI")</f>
        <v>10050</v>
      </c>
      <c r="H46" s="6" t="n">
        <f aca="false">B46+D46+F46</f>
        <v>1897</v>
      </c>
    </row>
    <row r="47" customFormat="false" ht="15" hidden="false" customHeight="true" outlineLevel="0" collapsed="false">
      <c r="A47" s="5" t="s">
        <v>52</v>
      </c>
      <c r="B47" s="6" t="n">
        <f aca="false">SUMIFS('TNS-HDFC 7278'!E:E,'TNS-HDFC 7278'!A:A,A47,'TNS-HDFC 7278'!C:C,"UPI")</f>
        <v>3080</v>
      </c>
      <c r="C47" s="6" t="n">
        <f aca="false">SUMIFS('TNS-HDFC 7278'!D:D,'TNS-HDFC 7278'!A:A,A47,'TNS-HDFC 7278'!C:C,"UPI")</f>
        <v>0</v>
      </c>
      <c r="D47" s="6" t="n">
        <f aca="false">SUMIFS('Nagarajan-HDFC 6393'!E:E,'Nagarajan-HDFC 6393'!A:A,A47,'Nagarajan-HDFC 6393'!C:C,"UPI")</f>
        <v>240</v>
      </c>
      <c r="E47" s="6" t="n">
        <f aca="false">SUMIFS('Nagarajan-HDFC 6393'!D:D,'Nagarajan-HDFC 6393'!A:A,A47,'Nagarajan-HDFC 6393'!C:C,"UPI")</f>
        <v>0</v>
      </c>
      <c r="F47" s="6" t="n">
        <f aca="false">SUMIFS('Nagarajan-ICICI 0314'!E:E,'Nagarajan-ICICI 0314'!A:A,A47,'Nagarajan-ICICI 0314'!C:C,"UPI")</f>
        <v>0</v>
      </c>
      <c r="G47" s="6" t="n">
        <f aca="false">SUMIFS('Nagarajan-ICICI 0314'!D:D,'Nagarajan-ICICI 0314'!A:A,A47,'Nagarajan-ICICI 0314'!C:C,"UPI")</f>
        <v>410</v>
      </c>
      <c r="H47" s="6" t="n">
        <f aca="false">B47+D47+F47</f>
        <v>3320</v>
      </c>
    </row>
    <row r="48" customFormat="false" ht="15" hidden="false" customHeight="true" outlineLevel="0" collapsed="false">
      <c r="A48" s="5" t="s">
        <v>53</v>
      </c>
      <c r="B48" s="6" t="n">
        <f aca="false">SUMIFS('TNS-HDFC 7278'!E:E,'TNS-HDFC 7278'!A:A,A48,'TNS-HDFC 7278'!C:C,"UPI")</f>
        <v>60</v>
      </c>
      <c r="C48" s="6" t="n">
        <f aca="false">SUMIFS('TNS-HDFC 7278'!D:D,'TNS-HDFC 7278'!A:A,A48,'TNS-HDFC 7278'!C:C,"UPI")</f>
        <v>0</v>
      </c>
      <c r="D48" s="6" t="n">
        <f aca="false">SUMIFS('Nagarajan-HDFC 6393'!E:E,'Nagarajan-HDFC 6393'!A:A,A48,'Nagarajan-HDFC 6393'!C:C,"UPI")</f>
        <v>3075</v>
      </c>
      <c r="E48" s="6" t="n">
        <f aca="false">SUMIFS('Nagarajan-HDFC 6393'!D:D,'Nagarajan-HDFC 6393'!A:A,A48,'Nagarajan-HDFC 6393'!C:C,"UPI")</f>
        <v>0</v>
      </c>
      <c r="F48" s="6" t="n">
        <f aca="false">SUMIFS('Nagarajan-ICICI 0314'!E:E,'Nagarajan-ICICI 0314'!A:A,A48,'Nagarajan-ICICI 0314'!C:C,"UPI")</f>
        <v>0</v>
      </c>
      <c r="G48" s="6" t="n">
        <f aca="false">SUMIFS('Nagarajan-ICICI 0314'!D:D,'Nagarajan-ICICI 0314'!A:A,A48,'Nagarajan-ICICI 0314'!C:C,"UPI")</f>
        <v>10160.9</v>
      </c>
      <c r="H48" s="6" t="n">
        <f aca="false">B48+D48+F48</f>
        <v>3135</v>
      </c>
    </row>
    <row r="49" customFormat="false" ht="15" hidden="false" customHeight="true" outlineLevel="0" collapsed="false">
      <c r="A49" s="5" t="s">
        <v>54</v>
      </c>
      <c r="B49" s="6" t="n">
        <f aca="false">SUMIFS('TNS-HDFC 7278'!E:E,'TNS-HDFC 7278'!A:A,A49,'TNS-HDFC 7278'!C:C,"UPI")</f>
        <v>1095</v>
      </c>
      <c r="C49" s="6" t="n">
        <f aca="false">SUMIFS('TNS-HDFC 7278'!D:D,'TNS-HDFC 7278'!A:A,A49,'TNS-HDFC 7278'!C:C,"UPI")</f>
        <v>0</v>
      </c>
      <c r="D49" s="6" t="n">
        <f aca="false">SUMIFS('Nagarajan-HDFC 6393'!E:E,'Nagarajan-HDFC 6393'!A:A,A49,'Nagarajan-HDFC 6393'!C:C,"UPI")</f>
        <v>0</v>
      </c>
      <c r="E49" s="6" t="n">
        <f aca="false">SUMIFS('Nagarajan-HDFC 6393'!D:D,'Nagarajan-HDFC 6393'!A:A,A49,'Nagarajan-HDFC 6393'!C:C,"UPI")</f>
        <v>8770</v>
      </c>
      <c r="F49" s="6" t="n">
        <f aca="false">SUMIFS('Nagarajan-ICICI 0314'!E:E,'Nagarajan-ICICI 0314'!A:A,A49,'Nagarajan-ICICI 0314'!C:C,"UPI")</f>
        <v>0</v>
      </c>
      <c r="G49" s="6" t="n">
        <f aca="false">SUMIFS('Nagarajan-ICICI 0314'!D:D,'Nagarajan-ICICI 0314'!A:A,A49,'Nagarajan-ICICI 0314'!C:C,"UPI")</f>
        <v>9790</v>
      </c>
      <c r="H49" s="6" t="n">
        <f aca="false">B49+D49+F49</f>
        <v>1095</v>
      </c>
    </row>
    <row r="50" customFormat="false" ht="15" hidden="false" customHeight="true" outlineLevel="0" collapsed="false">
      <c r="A50" s="5" t="s">
        <v>55</v>
      </c>
      <c r="B50" s="6" t="n">
        <f aca="false">SUMIFS('TNS-HDFC 7278'!E:E,'TNS-HDFC 7278'!A:A,A50,'TNS-HDFC 7278'!C:C,"UPI")</f>
        <v>0</v>
      </c>
      <c r="C50" s="6" t="n">
        <f aca="false">SUMIFS('TNS-HDFC 7278'!D:D,'TNS-HDFC 7278'!A:A,A50,'TNS-HDFC 7278'!C:C,"UPI")</f>
        <v>0</v>
      </c>
      <c r="D50" s="6" t="n">
        <f aca="false">SUMIFS('Nagarajan-HDFC 6393'!E:E,'Nagarajan-HDFC 6393'!A:A,A50,'Nagarajan-HDFC 6393'!C:C,"UPI")</f>
        <v>0</v>
      </c>
      <c r="E50" s="6" t="n">
        <f aca="false">SUMIFS('Nagarajan-HDFC 6393'!D:D,'Nagarajan-HDFC 6393'!A:A,A50,'Nagarajan-HDFC 6393'!C:C,"UPI")</f>
        <v>2504</v>
      </c>
      <c r="F50" s="6" t="n">
        <f aca="false">SUMIFS('Nagarajan-ICICI 0314'!E:E,'Nagarajan-ICICI 0314'!A:A,A50,'Nagarajan-ICICI 0314'!C:C,"UPI")</f>
        <v>0</v>
      </c>
      <c r="G50" s="6" t="n">
        <f aca="false">SUMIFS('Nagarajan-ICICI 0314'!D:D,'Nagarajan-ICICI 0314'!A:A,A50,'Nagarajan-ICICI 0314'!C:C,"UPI")</f>
        <v>0</v>
      </c>
      <c r="H50" s="6" t="n">
        <f aca="false">B50+D50+F50</f>
        <v>0</v>
      </c>
    </row>
    <row r="51" customFormat="false" ht="15" hidden="false" customHeight="true" outlineLevel="0" collapsed="false">
      <c r="A51" s="5" t="s">
        <v>56</v>
      </c>
      <c r="B51" s="6" t="n">
        <f aca="false">SUMIFS('TNS-HDFC 7278'!E:E,'TNS-HDFC 7278'!A:A,A51,'TNS-HDFC 7278'!C:C,"UPI")</f>
        <v>0</v>
      </c>
      <c r="C51" s="6" t="n">
        <f aca="false">SUMIFS('TNS-HDFC 7278'!D:D,'TNS-HDFC 7278'!A:A,A51,'TNS-HDFC 7278'!C:C,"UPI")</f>
        <v>0</v>
      </c>
      <c r="D51" s="6" t="n">
        <f aca="false">SUMIFS('Nagarajan-HDFC 6393'!E:E,'Nagarajan-HDFC 6393'!A:A,A51,'Nagarajan-HDFC 6393'!C:C,"UPI")</f>
        <v>1300</v>
      </c>
      <c r="E51" s="6" t="n">
        <f aca="false">SUMIFS('Nagarajan-HDFC 6393'!D:D,'Nagarajan-HDFC 6393'!A:A,A51,'Nagarajan-HDFC 6393'!C:C,"UPI")</f>
        <v>3530</v>
      </c>
      <c r="F51" s="6" t="n">
        <f aca="false">SUMIFS('Nagarajan-ICICI 0314'!E:E,'Nagarajan-ICICI 0314'!A:A,A51,'Nagarajan-ICICI 0314'!C:C,"UPI")</f>
        <v>0</v>
      </c>
      <c r="G51" s="6" t="n">
        <f aca="false">SUMIFS('Nagarajan-ICICI 0314'!D:D,'Nagarajan-ICICI 0314'!A:A,A51,'Nagarajan-ICICI 0314'!C:C,"UPI")</f>
        <v>0</v>
      </c>
      <c r="H51" s="6" t="n">
        <f aca="false">B51+D51+F51</f>
        <v>1300</v>
      </c>
    </row>
    <row r="52" customFormat="false" ht="15" hidden="false" customHeight="true" outlineLevel="0" collapsed="false">
      <c r="A52" s="5" t="s">
        <v>57</v>
      </c>
      <c r="B52" s="6" t="n">
        <f aca="false">SUMIFS('TNS-HDFC 7278'!E:E,'TNS-HDFC 7278'!A:A,A52,'TNS-HDFC 7278'!C:C,"UPI")</f>
        <v>15560</v>
      </c>
      <c r="C52" s="6" t="n">
        <f aca="false">SUMIFS('TNS-HDFC 7278'!D:D,'TNS-HDFC 7278'!A:A,A52,'TNS-HDFC 7278'!C:C,"UPI")</f>
        <v>0</v>
      </c>
      <c r="D52" s="6" t="n">
        <f aca="false">SUMIFS('Nagarajan-HDFC 6393'!E:E,'Nagarajan-HDFC 6393'!A:A,A52,'Nagarajan-HDFC 6393'!C:C,"UPI")</f>
        <v>0</v>
      </c>
      <c r="E52" s="6" t="n">
        <f aca="false">SUMIFS('Nagarajan-HDFC 6393'!D:D,'Nagarajan-HDFC 6393'!A:A,A52,'Nagarajan-HDFC 6393'!C:C,"UPI")</f>
        <v>0</v>
      </c>
      <c r="F52" s="6" t="n">
        <f aca="false">SUMIFS('Nagarajan-ICICI 0314'!E:E,'Nagarajan-ICICI 0314'!A:A,A52,'Nagarajan-ICICI 0314'!C:C,"UPI")</f>
        <v>0</v>
      </c>
      <c r="G52" s="6" t="n">
        <f aca="false">SUMIFS('Nagarajan-ICICI 0314'!D:D,'Nagarajan-ICICI 0314'!A:A,A52,'Nagarajan-ICICI 0314'!C:C,"UPI")</f>
        <v>9385</v>
      </c>
      <c r="H52" s="6" t="n">
        <f aca="false">B52+D52+F52</f>
        <v>15560</v>
      </c>
    </row>
    <row r="53" customFormat="false" ht="15" hidden="false" customHeight="true" outlineLevel="0" collapsed="false">
      <c r="A53" s="5" t="s">
        <v>58</v>
      </c>
      <c r="B53" s="6" t="n">
        <f aca="false">SUMIFS('TNS-HDFC 7278'!E:E,'TNS-HDFC 7278'!A:A,A53,'TNS-HDFC 7278'!C:C,"UPI")</f>
        <v>3300</v>
      </c>
      <c r="C53" s="6" t="n">
        <f aca="false">SUMIFS('TNS-HDFC 7278'!D:D,'TNS-HDFC 7278'!A:A,A53,'TNS-HDFC 7278'!C:C,"UPI")</f>
        <v>0</v>
      </c>
      <c r="D53" s="6" t="n">
        <f aca="false">SUMIFS('Nagarajan-HDFC 6393'!E:E,'Nagarajan-HDFC 6393'!A:A,A53,'Nagarajan-HDFC 6393'!C:C,"UPI")</f>
        <v>4180</v>
      </c>
      <c r="E53" s="6" t="n">
        <f aca="false">SUMIFS('Nagarajan-HDFC 6393'!D:D,'Nagarajan-HDFC 6393'!A:A,A53,'Nagarajan-HDFC 6393'!C:C,"UPI")</f>
        <v>0</v>
      </c>
      <c r="F53" s="6" t="n">
        <f aca="false">SUMIFS('Nagarajan-ICICI 0314'!E:E,'Nagarajan-ICICI 0314'!A:A,A53,'Nagarajan-ICICI 0314'!C:C,"UPI")</f>
        <v>0</v>
      </c>
      <c r="G53" s="6" t="n">
        <f aca="false">SUMIFS('Nagarajan-ICICI 0314'!D:D,'Nagarajan-ICICI 0314'!A:A,A53,'Nagarajan-ICICI 0314'!C:C,"UPI")</f>
        <v>500</v>
      </c>
      <c r="H53" s="6" t="n">
        <f aca="false">B53+D53+F53</f>
        <v>7480</v>
      </c>
    </row>
    <row r="54" customFormat="false" ht="15" hidden="false" customHeight="true" outlineLevel="0" collapsed="false">
      <c r="A54" s="5" t="s">
        <v>59</v>
      </c>
      <c r="B54" s="6" t="n">
        <f aca="false">SUMIFS('TNS-HDFC 7278'!E:E,'TNS-HDFC 7278'!A:A,A54,'TNS-HDFC 7278'!C:C,"UPI")</f>
        <v>2735</v>
      </c>
      <c r="C54" s="6" t="n">
        <f aca="false">SUMIFS('TNS-HDFC 7278'!D:D,'TNS-HDFC 7278'!A:A,A54,'TNS-HDFC 7278'!C:C,"UPI")</f>
        <v>231</v>
      </c>
      <c r="D54" s="6" t="n">
        <f aca="false">SUMIFS('Nagarajan-HDFC 6393'!E:E,'Nagarajan-HDFC 6393'!A:A,A54,'Nagarajan-HDFC 6393'!C:C,"UPI")</f>
        <v>0</v>
      </c>
      <c r="E54" s="6" t="n">
        <f aca="false">SUMIFS('Nagarajan-HDFC 6393'!D:D,'Nagarajan-HDFC 6393'!A:A,A54,'Nagarajan-HDFC 6393'!C:C,"UPI")</f>
        <v>7795</v>
      </c>
      <c r="F54" s="6" t="n">
        <f aca="false">SUMIFS('Nagarajan-ICICI 0314'!E:E,'Nagarajan-ICICI 0314'!A:A,A54,'Nagarajan-ICICI 0314'!C:C,"UPI")</f>
        <v>0</v>
      </c>
      <c r="G54" s="6" t="n">
        <f aca="false">SUMIFS('Nagarajan-ICICI 0314'!D:D,'Nagarajan-ICICI 0314'!A:A,A54,'Nagarajan-ICICI 0314'!C:C,"UPI")</f>
        <v>2000</v>
      </c>
      <c r="H54" s="6" t="n">
        <f aca="false">B54+D54+F54</f>
        <v>2735</v>
      </c>
    </row>
    <row r="55" customFormat="false" ht="15" hidden="false" customHeight="true" outlineLevel="0" collapsed="false">
      <c r="A55" s="5" t="s">
        <v>60</v>
      </c>
      <c r="B55" s="6" t="n">
        <f aca="false">SUMIFS('TNS-HDFC 7278'!E:E,'TNS-HDFC 7278'!A:A,A55,'TNS-HDFC 7278'!C:C,"UPI")</f>
        <v>10800</v>
      </c>
      <c r="C55" s="6" t="n">
        <f aca="false">SUMIFS('TNS-HDFC 7278'!D:D,'TNS-HDFC 7278'!A:A,A55,'TNS-HDFC 7278'!C:C,"UPI")</f>
        <v>50</v>
      </c>
      <c r="D55" s="6" t="n">
        <f aca="false">SUMIFS('Nagarajan-HDFC 6393'!E:E,'Nagarajan-HDFC 6393'!A:A,A55,'Nagarajan-HDFC 6393'!C:C,"UPI")</f>
        <v>0</v>
      </c>
      <c r="E55" s="6" t="n">
        <f aca="false">SUMIFS('Nagarajan-HDFC 6393'!D:D,'Nagarajan-HDFC 6393'!A:A,A55,'Nagarajan-HDFC 6393'!C:C,"UPI")</f>
        <v>0</v>
      </c>
      <c r="F55" s="6" t="n">
        <f aca="false">SUMIFS('Nagarajan-ICICI 0314'!E:E,'Nagarajan-ICICI 0314'!A:A,A55,'Nagarajan-ICICI 0314'!C:C,"UPI")</f>
        <v>0</v>
      </c>
      <c r="G55" s="6" t="n">
        <f aca="false">SUMIFS('Nagarajan-ICICI 0314'!D:D,'Nagarajan-ICICI 0314'!A:A,A55,'Nagarajan-ICICI 0314'!C:C,"UPI")</f>
        <v>0</v>
      </c>
      <c r="H55" s="6" t="n">
        <f aca="false">B55+D55+F55</f>
        <v>10800</v>
      </c>
    </row>
    <row r="56" customFormat="false" ht="15" hidden="false" customHeight="true" outlineLevel="0" collapsed="false">
      <c r="A56" s="5" t="s">
        <v>61</v>
      </c>
      <c r="B56" s="6" t="n">
        <f aca="false">SUMIFS('TNS-HDFC 7278'!E:E,'TNS-HDFC 7278'!A:A,A56,'TNS-HDFC 7278'!C:C,"UPI")</f>
        <v>2090</v>
      </c>
      <c r="C56" s="6" t="n">
        <f aca="false">SUMIFS('TNS-HDFC 7278'!D:D,'TNS-HDFC 7278'!A:A,A56,'TNS-HDFC 7278'!C:C,"UPI")</f>
        <v>5412.8</v>
      </c>
      <c r="D56" s="6" t="n">
        <f aca="false">SUMIFS('Nagarajan-HDFC 6393'!E:E,'Nagarajan-HDFC 6393'!A:A,A56,'Nagarajan-HDFC 6393'!C:C,"UPI")</f>
        <v>3780</v>
      </c>
      <c r="E56" s="6" t="n">
        <f aca="false">SUMIFS('Nagarajan-HDFC 6393'!D:D,'Nagarajan-HDFC 6393'!A:A,A56,'Nagarajan-HDFC 6393'!C:C,"UPI")</f>
        <v>0</v>
      </c>
      <c r="F56" s="6" t="n">
        <f aca="false">SUMIFS('Nagarajan-ICICI 0314'!E:E,'Nagarajan-ICICI 0314'!A:A,A56,'Nagarajan-ICICI 0314'!C:C,"UPI")</f>
        <v>0</v>
      </c>
      <c r="G56" s="6" t="n">
        <f aca="false">SUMIFS('Nagarajan-ICICI 0314'!D:D,'Nagarajan-ICICI 0314'!A:A,A56,'Nagarajan-ICICI 0314'!C:C,"UPI")</f>
        <v>0</v>
      </c>
      <c r="H56" s="6" t="n">
        <f aca="false">B56+D56+F56</f>
        <v>5870</v>
      </c>
    </row>
    <row r="57" customFormat="false" ht="15" hidden="false" customHeight="true" outlineLevel="0" collapsed="false">
      <c r="A57" s="5" t="s">
        <v>62</v>
      </c>
      <c r="B57" s="6" t="n">
        <f aca="false">SUMIFS('TNS-HDFC 7278'!E:E,'TNS-HDFC 7278'!A:A,A57,'TNS-HDFC 7278'!C:C,"UPI")</f>
        <v>27290</v>
      </c>
      <c r="C57" s="6" t="n">
        <f aca="false">SUMIFS('TNS-HDFC 7278'!D:D,'TNS-HDFC 7278'!A:A,A57,'TNS-HDFC 7278'!C:C,"UPI")</f>
        <v>3000</v>
      </c>
      <c r="D57" s="6" t="n">
        <f aca="false">SUMIFS('Nagarajan-HDFC 6393'!E:E,'Nagarajan-HDFC 6393'!A:A,A57,'Nagarajan-HDFC 6393'!C:C,"UPI")</f>
        <v>7050</v>
      </c>
      <c r="E57" s="6" t="n">
        <f aca="false">SUMIFS('Nagarajan-HDFC 6393'!D:D,'Nagarajan-HDFC 6393'!A:A,A57,'Nagarajan-HDFC 6393'!C:C,"UPI")</f>
        <v>20</v>
      </c>
      <c r="F57" s="6" t="n">
        <f aca="false">SUMIFS('Nagarajan-ICICI 0314'!E:E,'Nagarajan-ICICI 0314'!A:A,A57,'Nagarajan-ICICI 0314'!C:C,"UPI")</f>
        <v>0</v>
      </c>
      <c r="G57" s="6" t="n">
        <f aca="false">SUMIFS('Nagarajan-ICICI 0314'!D:D,'Nagarajan-ICICI 0314'!A:A,A57,'Nagarajan-ICICI 0314'!C:C,"UPI")</f>
        <v>0</v>
      </c>
      <c r="H57" s="6" t="n">
        <f aca="false">B57+D57+F57</f>
        <v>34340</v>
      </c>
    </row>
    <row r="58" customFormat="false" ht="15" hidden="false" customHeight="true" outlineLevel="0" collapsed="false">
      <c r="A58" s="5" t="s">
        <v>63</v>
      </c>
      <c r="B58" s="6" t="n">
        <f aca="false">SUMIFS('TNS-HDFC 7278'!E:E,'TNS-HDFC 7278'!A:A,A58,'TNS-HDFC 7278'!C:C,"UPI")</f>
        <v>24930</v>
      </c>
      <c r="C58" s="6" t="n">
        <f aca="false">SUMIFS('TNS-HDFC 7278'!D:D,'TNS-HDFC 7278'!A:A,A58,'TNS-HDFC 7278'!C:C,"UPI")</f>
        <v>10100</v>
      </c>
      <c r="D58" s="6" t="n">
        <f aca="false">SUMIFS('Nagarajan-HDFC 6393'!E:E,'Nagarajan-HDFC 6393'!A:A,A58,'Nagarajan-HDFC 6393'!C:C,"UPI")</f>
        <v>5180</v>
      </c>
      <c r="E58" s="6" t="n">
        <f aca="false">SUMIFS('Nagarajan-HDFC 6393'!D:D,'Nagarajan-HDFC 6393'!A:A,A58,'Nagarajan-HDFC 6393'!C:C,"UPI")</f>
        <v>0</v>
      </c>
      <c r="F58" s="6" t="n">
        <f aca="false">SUMIFS('Nagarajan-ICICI 0314'!E:E,'Nagarajan-ICICI 0314'!A:A,A58,'Nagarajan-ICICI 0314'!C:C,"UPI")</f>
        <v>0</v>
      </c>
      <c r="G58" s="6" t="n">
        <f aca="false">SUMIFS('Nagarajan-ICICI 0314'!D:D,'Nagarajan-ICICI 0314'!A:A,A58,'Nagarajan-ICICI 0314'!C:C,"UPI")</f>
        <v>20</v>
      </c>
      <c r="H58" s="6" t="n">
        <f aca="false">B58+D58+F58</f>
        <v>30110</v>
      </c>
    </row>
    <row r="59" customFormat="false" ht="15" hidden="false" customHeight="true" outlineLevel="0" collapsed="false">
      <c r="A59" s="5" t="s">
        <v>64</v>
      </c>
      <c r="B59" s="6" t="n">
        <f aca="false">SUMIFS('TNS-HDFC 7278'!E:E,'TNS-HDFC 7278'!A:A,A59,'TNS-HDFC 7278'!C:C,"UPI")</f>
        <v>19279</v>
      </c>
      <c r="C59" s="6" t="n">
        <f aca="false">SUMIFS('TNS-HDFC 7278'!D:D,'TNS-HDFC 7278'!A:A,A59,'TNS-HDFC 7278'!C:C,"UPI")</f>
        <v>8565</v>
      </c>
      <c r="D59" s="6" t="n">
        <f aca="false">SUMIFS('Nagarajan-HDFC 6393'!E:E,'Nagarajan-HDFC 6393'!A:A,A59,'Nagarajan-HDFC 6393'!C:C,"UPI")</f>
        <v>2700</v>
      </c>
      <c r="E59" s="6" t="n">
        <f aca="false">SUMIFS('Nagarajan-HDFC 6393'!D:D,'Nagarajan-HDFC 6393'!A:A,A59,'Nagarajan-HDFC 6393'!C:C,"UPI")</f>
        <v>0</v>
      </c>
      <c r="F59" s="6" t="n">
        <f aca="false">SUMIFS('Nagarajan-ICICI 0314'!E:E,'Nagarajan-ICICI 0314'!A:A,A59,'Nagarajan-ICICI 0314'!C:C,"UPI")</f>
        <v>0</v>
      </c>
      <c r="G59" s="6" t="n">
        <f aca="false">SUMIFS('Nagarajan-ICICI 0314'!D:D,'Nagarajan-ICICI 0314'!A:A,A59,'Nagarajan-ICICI 0314'!C:C,"UPI")</f>
        <v>0</v>
      </c>
      <c r="H59" s="6" t="n">
        <f aca="false">B59+D59+F59</f>
        <v>21979</v>
      </c>
    </row>
    <row r="60" customFormat="false" ht="15" hidden="false" customHeight="true" outlineLevel="0" collapsed="false">
      <c r="A60" s="5" t="s">
        <v>65</v>
      </c>
      <c r="B60" s="6" t="n">
        <f aca="false">SUMIFS('TNS-HDFC 7278'!E:E,'TNS-HDFC 7278'!A:A,A60,'TNS-HDFC 7278'!C:C,"UPI")</f>
        <v>7235</v>
      </c>
      <c r="C60" s="6" t="n">
        <f aca="false">SUMIFS('TNS-HDFC 7278'!D:D,'TNS-HDFC 7278'!A:A,A60,'TNS-HDFC 7278'!C:C,"UPI")</f>
        <v>350</v>
      </c>
      <c r="D60" s="6" t="n">
        <f aca="false">SUMIFS('Nagarajan-HDFC 6393'!E:E,'Nagarajan-HDFC 6393'!A:A,A60,'Nagarajan-HDFC 6393'!C:C,"UPI")</f>
        <v>0</v>
      </c>
      <c r="E60" s="6" t="n">
        <f aca="false">SUMIFS('Nagarajan-HDFC 6393'!D:D,'Nagarajan-HDFC 6393'!A:A,A60,'Nagarajan-HDFC 6393'!C:C,"UPI")</f>
        <v>0</v>
      </c>
      <c r="F60" s="6" t="n">
        <f aca="false">SUMIFS('Nagarajan-ICICI 0314'!E:E,'Nagarajan-ICICI 0314'!A:A,A60,'Nagarajan-ICICI 0314'!C:C,"UPI")</f>
        <v>0</v>
      </c>
      <c r="G60" s="6" t="n">
        <f aca="false">SUMIFS('Nagarajan-ICICI 0314'!D:D,'Nagarajan-ICICI 0314'!A:A,A60,'Nagarajan-ICICI 0314'!C:C,"UPI")</f>
        <v>0</v>
      </c>
      <c r="H60" s="6" t="n">
        <f aca="false">B60+D60+F60</f>
        <v>7235</v>
      </c>
    </row>
    <row r="61" customFormat="false" ht="15" hidden="false" customHeight="true" outlineLevel="0" collapsed="false">
      <c r="A61" s="5" t="s">
        <v>66</v>
      </c>
      <c r="B61" s="6" t="n">
        <f aca="false">SUMIFS('TNS-HDFC 7278'!E:E,'TNS-HDFC 7278'!A:A,A61,'TNS-HDFC 7278'!C:C,"UPI")</f>
        <v>4185</v>
      </c>
      <c r="C61" s="6" t="n">
        <f aca="false">SUMIFS('TNS-HDFC 7278'!D:D,'TNS-HDFC 7278'!A:A,A61,'TNS-HDFC 7278'!C:C,"UPI")</f>
        <v>10281</v>
      </c>
      <c r="D61" s="6" t="n">
        <f aca="false">SUMIFS('Nagarajan-HDFC 6393'!E:E,'Nagarajan-HDFC 6393'!A:A,A61,'Nagarajan-HDFC 6393'!C:C,"UPI")</f>
        <v>0</v>
      </c>
      <c r="E61" s="6" t="n">
        <f aca="false">SUMIFS('Nagarajan-HDFC 6393'!D:D,'Nagarajan-HDFC 6393'!A:A,A61,'Nagarajan-HDFC 6393'!C:C,"UPI")</f>
        <v>0</v>
      </c>
      <c r="F61" s="6" t="n">
        <f aca="false">SUMIFS('Nagarajan-ICICI 0314'!E:E,'Nagarajan-ICICI 0314'!A:A,A61,'Nagarajan-ICICI 0314'!C:C,"UPI")</f>
        <v>1</v>
      </c>
      <c r="G61" s="6" t="n">
        <f aca="false">SUMIFS('Nagarajan-ICICI 0314'!D:D,'Nagarajan-ICICI 0314'!A:A,A61,'Nagarajan-ICICI 0314'!C:C,"UPI")</f>
        <v>0</v>
      </c>
      <c r="H61" s="6" t="n">
        <f aca="false">B61+D61+F61</f>
        <v>4186</v>
      </c>
    </row>
    <row r="62" customFormat="false" ht="15" hidden="false" customHeight="true" outlineLevel="0" collapsed="false">
      <c r="A62" s="5" t="s">
        <v>67</v>
      </c>
      <c r="B62" s="6" t="n">
        <f aca="false">SUMIFS('TNS-HDFC 7278'!E:E,'TNS-HDFC 7278'!A:A,A62,'TNS-HDFC 7278'!C:C,"UPI")</f>
        <v>0</v>
      </c>
      <c r="C62" s="6" t="n">
        <f aca="false">SUMIFS('TNS-HDFC 7278'!D:D,'TNS-HDFC 7278'!A:A,A62,'TNS-HDFC 7278'!C:C,"UPI")</f>
        <v>0</v>
      </c>
      <c r="D62" s="6" t="n">
        <f aca="false">SUMIFS('Nagarajan-HDFC 6393'!E:E,'Nagarajan-HDFC 6393'!A:A,A62,'Nagarajan-HDFC 6393'!C:C,"UPI")</f>
        <v>0</v>
      </c>
      <c r="E62" s="6" t="n">
        <f aca="false">SUMIFS('Nagarajan-HDFC 6393'!D:D,'Nagarajan-HDFC 6393'!A:A,A62,'Nagarajan-HDFC 6393'!C:C,"UPI")</f>
        <v>135</v>
      </c>
      <c r="F62" s="6" t="n">
        <f aca="false">SUMIFS('Nagarajan-ICICI 0314'!E:E,'Nagarajan-ICICI 0314'!A:A,A62,'Nagarajan-ICICI 0314'!C:C,"UPI")</f>
        <v>0</v>
      </c>
      <c r="G62" s="6" t="n">
        <f aca="false">SUMIFS('Nagarajan-ICICI 0314'!D:D,'Nagarajan-ICICI 0314'!A:A,A62,'Nagarajan-ICICI 0314'!C:C,"UPI")</f>
        <v>0</v>
      </c>
      <c r="H62" s="6" t="n">
        <f aca="false">B62+D62+F62</f>
        <v>0</v>
      </c>
    </row>
    <row r="63" customFormat="false" ht="15" hidden="false" customHeight="true" outlineLevel="0" collapsed="false">
      <c r="A63" s="7" t="s">
        <v>68</v>
      </c>
      <c r="B63" s="8" t="n">
        <f aca="false">SUM(B5:B62)</f>
        <v>124820</v>
      </c>
      <c r="C63" s="8" t="n">
        <f aca="false">SUM(C5:C62)</f>
        <v>37989.8</v>
      </c>
      <c r="D63" s="8" t="n">
        <f aca="false">SUM(D5:D62)</f>
        <v>144708</v>
      </c>
      <c r="E63" s="8" t="n">
        <f aca="false">SUM(E5:E62)</f>
        <v>261889</v>
      </c>
      <c r="F63" s="8" t="n">
        <f aca="false">SUM(F5:F62)</f>
        <v>1</v>
      </c>
      <c r="G63" s="8" t="n">
        <f aca="false">SUM(G5:G62)</f>
        <v>310470.9</v>
      </c>
      <c r="H63" s="8" t="n">
        <f aca="false">SUM(H5:H62)</f>
        <v>269529</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3" min="2" style="1" width="16"/>
    <col collapsed="false" customWidth="true" hidden="false" outlineLevel="0" max="4" min="4" style="1" width="10"/>
  </cols>
  <sheetData>
    <row r="1" customFormat="false" ht="15.75" hidden="false" customHeight="true" outlineLevel="0" collapsed="false">
      <c r="A1" s="2" t="s">
        <v>69</v>
      </c>
      <c r="B1" s="2"/>
      <c r="C1" s="2"/>
      <c r="D1" s="2"/>
    </row>
    <row r="2" customFormat="false" ht="15" hidden="false" customHeight="true" outlineLevel="0" collapsed="false">
      <c r="A2" s="3" t="s">
        <v>70</v>
      </c>
      <c r="B2" s="3"/>
      <c r="C2" s="3"/>
      <c r="D2" s="3"/>
    </row>
    <row r="4" customFormat="false" ht="15" hidden="false" customHeight="true" outlineLevel="0" collapsed="false">
      <c r="A4" s="9" t="s">
        <v>71</v>
      </c>
      <c r="B4" s="9"/>
      <c r="C4" s="9"/>
      <c r="D4" s="9"/>
    </row>
    <row r="5" customFormat="false" ht="15" hidden="false" customHeight="true" outlineLevel="0" collapsed="false">
      <c r="A5" s="10" t="s">
        <v>72</v>
      </c>
      <c r="B5" s="10" t="s">
        <v>73</v>
      </c>
      <c r="C5" s="10" t="s">
        <v>74</v>
      </c>
      <c r="D5" s="10" t="s">
        <v>75</v>
      </c>
    </row>
    <row r="6" customFormat="false" ht="15" hidden="false" customHeight="true" outlineLevel="0" collapsed="false">
      <c r="A6" s="5" t="s">
        <v>76</v>
      </c>
      <c r="B6" s="6" t="n">
        <f aca="false">SUMIFS('TNS-HDFC 7278'!D:D,'TNS-HDFC 7278'!C:C,A6)</f>
        <v>37989.8</v>
      </c>
      <c r="C6" s="6" t="n">
        <f aca="false">SUMIFS('TNS-HDFC 7278'!E:E,'TNS-HDFC 7278'!C:C,A6)</f>
        <v>124820</v>
      </c>
      <c r="D6" s="5" t="n">
        <f aca="false">COUNTIF('TNS-HDFC 7278'!C:C,A6)</f>
        <v>224</v>
      </c>
    </row>
    <row r="7" customFormat="false" ht="15" hidden="false" customHeight="true" outlineLevel="0" collapsed="false">
      <c r="A7" s="5" t="s">
        <v>77</v>
      </c>
      <c r="B7" s="6" t="n">
        <f aca="false">SUMIFS('TNS-HDFC 7278'!D:D,'TNS-HDFC 7278'!C:C,A7)</f>
        <v>0</v>
      </c>
      <c r="C7" s="6" t="n">
        <f aca="false">SUMIFS('TNS-HDFC 7278'!E:E,'TNS-HDFC 7278'!C:C,A7)</f>
        <v>0</v>
      </c>
      <c r="D7" s="5" t="n">
        <f aca="false">COUNTIF('TNS-HDFC 7278'!C:C,A7)</f>
        <v>0</v>
      </c>
    </row>
    <row r="8" customFormat="false" ht="15" hidden="false" customHeight="true" outlineLevel="0" collapsed="false">
      <c r="A8" s="5" t="s">
        <v>78</v>
      </c>
      <c r="B8" s="6" t="n">
        <f aca="false">SUMIFS('TNS-HDFC 7278'!D:D,'TNS-HDFC 7278'!C:C,A8)</f>
        <v>0</v>
      </c>
      <c r="C8" s="6" t="n">
        <f aca="false">SUMIFS('TNS-HDFC 7278'!E:E,'TNS-HDFC 7278'!C:C,A8)</f>
        <v>0</v>
      </c>
      <c r="D8" s="5" t="n">
        <f aca="false">COUNTIF('TNS-HDFC 7278'!C:C,A8)</f>
        <v>0</v>
      </c>
    </row>
    <row r="9" customFormat="false" ht="15" hidden="false" customHeight="true" outlineLevel="0" collapsed="false">
      <c r="A9" s="5" t="s">
        <v>79</v>
      </c>
      <c r="B9" s="6" t="n">
        <f aca="false">SUMIFS('TNS-HDFC 7278'!D:D,'TNS-HDFC 7278'!C:C,A9)</f>
        <v>0</v>
      </c>
      <c r="C9" s="6" t="n">
        <f aca="false">SUMIFS('TNS-HDFC 7278'!E:E,'TNS-HDFC 7278'!C:C,A9)</f>
        <v>0</v>
      </c>
      <c r="D9" s="5" t="n">
        <f aca="false">COUNTIF('TNS-HDFC 7278'!C:C,A9)</f>
        <v>0</v>
      </c>
    </row>
    <row r="10" customFormat="false" ht="15" hidden="false" customHeight="true" outlineLevel="0" collapsed="false">
      <c r="A10" s="5" t="s">
        <v>80</v>
      </c>
      <c r="B10" s="6" t="n">
        <f aca="false">SUMIFS('TNS-HDFC 7278'!D:D,'TNS-HDFC 7278'!C:C,A10)</f>
        <v>0</v>
      </c>
      <c r="C10" s="6" t="n">
        <f aca="false">SUMIFS('TNS-HDFC 7278'!E:E,'TNS-HDFC 7278'!C:C,A10)</f>
        <v>50000</v>
      </c>
      <c r="D10" s="5" t="n">
        <f aca="false">COUNTIF('TNS-HDFC 7278'!C:C,A10)</f>
        <v>1</v>
      </c>
    </row>
    <row r="11" customFormat="false" ht="15" hidden="false" customHeight="true" outlineLevel="0" collapsed="false">
      <c r="A11" s="5" t="s">
        <v>81</v>
      </c>
      <c r="B11" s="6" t="n">
        <f aca="false">SUMIFS('TNS-HDFC 7278'!D:D,'TNS-HDFC 7278'!C:C,A11)</f>
        <v>0</v>
      </c>
      <c r="C11" s="6" t="n">
        <f aca="false">SUMIFS('TNS-HDFC 7278'!E:E,'TNS-HDFC 7278'!C:C,A11)</f>
        <v>0</v>
      </c>
      <c r="D11" s="5" t="n">
        <f aca="false">COUNTIF('TNS-HDFC 7278'!C:C,A11)</f>
        <v>0</v>
      </c>
    </row>
    <row r="12" customFormat="false" ht="15" hidden="false" customHeight="true" outlineLevel="0" collapsed="false">
      <c r="A12" s="5" t="s">
        <v>82</v>
      </c>
      <c r="B12" s="6" t="n">
        <f aca="false">SUMIFS('TNS-HDFC 7278'!D:D,'TNS-HDFC 7278'!C:C,A12)</f>
        <v>0</v>
      </c>
      <c r="C12" s="6" t="n">
        <f aca="false">SUMIFS('TNS-HDFC 7278'!E:E,'TNS-HDFC 7278'!C:C,A12)</f>
        <v>0</v>
      </c>
      <c r="D12" s="5" t="n">
        <f aca="false">COUNTIF('TNS-HDFC 7278'!C:C,A12)</f>
        <v>0</v>
      </c>
    </row>
    <row r="13" customFormat="false" ht="15" hidden="false" customHeight="true" outlineLevel="0" collapsed="false">
      <c r="A13" s="5" t="s">
        <v>83</v>
      </c>
      <c r="B13" s="6" t="n">
        <f aca="false">SUMIFS('TNS-HDFC 7278'!D:D,'TNS-HDFC 7278'!C:C,A13)</f>
        <v>21.04</v>
      </c>
      <c r="C13" s="6" t="n">
        <f aca="false">SUMIFS('TNS-HDFC 7278'!E:E,'TNS-HDFC 7278'!C:C,A13)</f>
        <v>0</v>
      </c>
      <c r="D13" s="5" t="n">
        <f aca="false">COUNTIF('TNS-HDFC 7278'!C:C,A13)</f>
        <v>5</v>
      </c>
    </row>
    <row r="14" customFormat="false" ht="15" hidden="false" customHeight="true" outlineLevel="0" collapsed="false">
      <c r="A14" s="7" t="s">
        <v>84</v>
      </c>
      <c r="B14" s="8" t="n">
        <f aca="false">SUM(B6:B13)</f>
        <v>38010.84</v>
      </c>
      <c r="C14" s="8" t="n">
        <f aca="false">SUM(C6:C13)</f>
        <v>174820</v>
      </c>
      <c r="D14" s="11"/>
    </row>
    <row r="16" customFormat="false" ht="15" hidden="false" customHeight="true" outlineLevel="0" collapsed="false">
      <c r="A16" s="9" t="s">
        <v>85</v>
      </c>
      <c r="B16" s="9"/>
      <c r="C16" s="9"/>
      <c r="D16" s="9"/>
    </row>
    <row r="17" customFormat="false" ht="15" hidden="false" customHeight="true" outlineLevel="0" collapsed="false">
      <c r="A17" s="10" t="s">
        <v>72</v>
      </c>
      <c r="B17" s="10" t="s">
        <v>73</v>
      </c>
      <c r="C17" s="10" t="s">
        <v>74</v>
      </c>
      <c r="D17" s="10" t="s">
        <v>75</v>
      </c>
    </row>
    <row r="18" customFormat="false" ht="15" hidden="false" customHeight="true" outlineLevel="0" collapsed="false">
      <c r="A18" s="5" t="s">
        <v>76</v>
      </c>
      <c r="B18" s="6" t="n">
        <f aca="false">SUMIFS('Nagarajan-HDFC 6393'!D:D,'Nagarajan-HDFC 6393'!C:C,A18)</f>
        <v>261889</v>
      </c>
      <c r="C18" s="6" t="n">
        <f aca="false">SUMIFS('Nagarajan-HDFC 6393'!E:E,'Nagarajan-HDFC 6393'!C:C,A18)</f>
        <v>144708</v>
      </c>
      <c r="D18" s="5" t="n">
        <f aca="false">COUNTIF('Nagarajan-HDFC 6393'!C:C,A18)</f>
        <v>163</v>
      </c>
    </row>
    <row r="19" customFormat="false" ht="15" hidden="false" customHeight="true" outlineLevel="0" collapsed="false">
      <c r="A19" s="5" t="s">
        <v>77</v>
      </c>
      <c r="B19" s="6" t="n">
        <f aca="false">SUMIFS('Nagarajan-HDFC 6393'!D:D,'Nagarajan-HDFC 6393'!C:C,A19)</f>
        <v>0</v>
      </c>
      <c r="C19" s="6" t="n">
        <f aca="false">SUMIFS('Nagarajan-HDFC 6393'!E:E,'Nagarajan-HDFC 6393'!C:C,A19)</f>
        <v>80000</v>
      </c>
      <c r="D19" s="5" t="n">
        <f aca="false">COUNTIF('Nagarajan-HDFC 6393'!C:C,A19)</f>
        <v>1</v>
      </c>
    </row>
    <row r="20" customFormat="false" ht="15" hidden="false" customHeight="true" outlineLevel="0" collapsed="false">
      <c r="A20" s="5" t="s">
        <v>78</v>
      </c>
      <c r="B20" s="6" t="n">
        <f aca="false">SUMIFS('Nagarajan-HDFC 6393'!D:D,'Nagarajan-HDFC 6393'!C:C,A20)</f>
        <v>0</v>
      </c>
      <c r="C20" s="6" t="n">
        <f aca="false">SUMIFS('Nagarajan-HDFC 6393'!E:E,'Nagarajan-HDFC 6393'!C:C,A20)</f>
        <v>60001</v>
      </c>
      <c r="D20" s="5" t="n">
        <f aca="false">COUNTIF('Nagarajan-HDFC 6393'!C:C,A20)</f>
        <v>4</v>
      </c>
    </row>
    <row r="21" customFormat="false" ht="15" hidden="false" customHeight="true" outlineLevel="0" collapsed="false">
      <c r="A21" s="5" t="s">
        <v>79</v>
      </c>
      <c r="B21" s="6" t="n">
        <f aca="false">SUMIFS('Nagarajan-HDFC 6393'!D:D,'Nagarajan-HDFC 6393'!C:C,A21)</f>
        <v>39957</v>
      </c>
      <c r="C21" s="6" t="n">
        <f aca="false">SUMIFS('Nagarajan-HDFC 6393'!E:E,'Nagarajan-HDFC 6393'!C:C,A21)</f>
        <v>13319</v>
      </c>
      <c r="D21" s="5" t="n">
        <f aca="false">COUNTIF('Nagarajan-HDFC 6393'!C:C,A21)</f>
        <v>4</v>
      </c>
    </row>
    <row r="22" customFormat="false" ht="15" hidden="false" customHeight="true" outlineLevel="0" collapsed="false">
      <c r="A22" s="5" t="s">
        <v>80</v>
      </c>
      <c r="B22" s="6" t="n">
        <f aca="false">SUMIFS('Nagarajan-HDFC 6393'!D:D,'Nagarajan-HDFC 6393'!C:C,A22)</f>
        <v>50000</v>
      </c>
      <c r="C22" s="6" t="n">
        <f aca="false">SUMIFS('Nagarajan-HDFC 6393'!E:E,'Nagarajan-HDFC 6393'!C:C,A22)</f>
        <v>0</v>
      </c>
      <c r="D22" s="5" t="n">
        <f aca="false">COUNTIF('Nagarajan-HDFC 6393'!C:C,A22)</f>
        <v>1</v>
      </c>
    </row>
    <row r="23" customFormat="false" ht="15" hidden="false" customHeight="true" outlineLevel="0" collapsed="false">
      <c r="A23" s="5" t="s">
        <v>81</v>
      </c>
      <c r="B23" s="6" t="n">
        <f aca="false">SUMIFS('Nagarajan-HDFC 6393'!D:D,'Nagarajan-HDFC 6393'!C:C,A23)</f>
        <v>0</v>
      </c>
      <c r="C23" s="6" t="n">
        <f aca="false">SUMIFS('Nagarajan-HDFC 6393'!E:E,'Nagarajan-HDFC 6393'!C:C,A23)</f>
        <v>0</v>
      </c>
      <c r="D23" s="5" t="n">
        <f aca="false">COUNTIF('Nagarajan-HDFC 6393'!C:C,A23)</f>
        <v>0</v>
      </c>
    </row>
    <row r="24" customFormat="false" ht="15" hidden="false" customHeight="true" outlineLevel="0" collapsed="false">
      <c r="A24" s="5" t="s">
        <v>82</v>
      </c>
      <c r="B24" s="6" t="n">
        <f aca="false">SUMIFS('Nagarajan-HDFC 6393'!D:D,'Nagarajan-HDFC 6393'!C:C,A24)</f>
        <v>0</v>
      </c>
      <c r="C24" s="6" t="n">
        <f aca="false">SUMIFS('Nagarajan-HDFC 6393'!E:E,'Nagarajan-HDFC 6393'!C:C,A24)</f>
        <v>0</v>
      </c>
      <c r="D24" s="5" t="n">
        <f aca="false">COUNTIF('Nagarajan-HDFC 6393'!C:C,A24)</f>
        <v>0</v>
      </c>
    </row>
    <row r="25" customFormat="false" ht="15" hidden="false" customHeight="true" outlineLevel="0" collapsed="false">
      <c r="A25" s="5" t="s">
        <v>83</v>
      </c>
      <c r="B25" s="6" t="n">
        <f aca="false">SUMIFS('Nagarajan-HDFC 6393'!D:D,'Nagarajan-HDFC 6393'!C:C,A25)</f>
        <v>450</v>
      </c>
      <c r="C25" s="6" t="n">
        <f aca="false">SUMIFS('Nagarajan-HDFC 6393'!E:E,'Nagarajan-HDFC 6393'!C:C,A25)</f>
        <v>36.45</v>
      </c>
      <c r="D25" s="5" t="n">
        <f aca="false">COUNTIF('Nagarajan-HDFC 6393'!C:C,A25)</f>
        <v>2</v>
      </c>
    </row>
    <row r="26" customFormat="false" ht="15" hidden="false" customHeight="true" outlineLevel="0" collapsed="false">
      <c r="A26" s="7" t="s">
        <v>84</v>
      </c>
      <c r="B26" s="8" t="n">
        <f aca="false">SUM(B18:B25)</f>
        <v>352296</v>
      </c>
      <c r="C26" s="8" t="n">
        <f aca="false">SUM(C18:C25)</f>
        <v>298064.45</v>
      </c>
      <c r="D26" s="11"/>
    </row>
    <row r="28" customFormat="false" ht="15" hidden="false" customHeight="true" outlineLevel="0" collapsed="false">
      <c r="A28" s="9" t="s">
        <v>86</v>
      </c>
      <c r="B28" s="9"/>
      <c r="C28" s="9"/>
      <c r="D28" s="9"/>
    </row>
    <row r="29" customFormat="false" ht="15" hidden="false" customHeight="true" outlineLevel="0" collapsed="false">
      <c r="A29" s="10" t="s">
        <v>72</v>
      </c>
      <c r="B29" s="10" t="s">
        <v>73</v>
      </c>
      <c r="C29" s="10" t="s">
        <v>74</v>
      </c>
      <c r="D29" s="10" t="s">
        <v>75</v>
      </c>
    </row>
    <row r="30" customFormat="false" ht="15" hidden="false" customHeight="true" outlineLevel="0" collapsed="false">
      <c r="A30" s="5" t="s">
        <v>76</v>
      </c>
      <c r="B30" s="6" t="n">
        <f aca="false">SUMIFS('Nagarajan-ICICI 0314'!D:D,'Nagarajan-ICICI 0314'!C:C,A30)</f>
        <v>310470.9</v>
      </c>
      <c r="C30" s="6" t="n">
        <f aca="false">SUMIFS('Nagarajan-ICICI 0314'!E:E,'Nagarajan-ICICI 0314'!C:C,A30)</f>
        <v>1</v>
      </c>
      <c r="D30" s="5" t="n">
        <f aca="false">COUNTIF('Nagarajan-ICICI 0314'!C:C,A30)</f>
        <v>111</v>
      </c>
    </row>
    <row r="31" customFormat="false" ht="15" hidden="false" customHeight="true" outlineLevel="0" collapsed="false">
      <c r="A31" s="5" t="s">
        <v>77</v>
      </c>
      <c r="B31" s="6" t="n">
        <f aca="false">SUMIFS('Nagarajan-ICICI 0314'!D:D,'Nagarajan-ICICI 0314'!C:C,A31)</f>
        <v>0</v>
      </c>
      <c r="C31" s="6" t="n">
        <f aca="false">SUMIFS('Nagarajan-ICICI 0314'!E:E,'Nagarajan-ICICI 0314'!C:C,A31)</f>
        <v>263460</v>
      </c>
      <c r="D31" s="5" t="n">
        <f aca="false">COUNTIF('Nagarajan-ICICI 0314'!C:C,A31)</f>
        <v>46</v>
      </c>
    </row>
    <row r="32" customFormat="false" ht="15" hidden="false" customHeight="true" outlineLevel="0" collapsed="false">
      <c r="A32" s="5" t="s">
        <v>78</v>
      </c>
      <c r="B32" s="6" t="n">
        <f aca="false">SUMIFS('Nagarajan-ICICI 0314'!D:D,'Nagarajan-ICICI 0314'!C:C,A32)</f>
        <v>60001</v>
      </c>
      <c r="C32" s="6" t="n">
        <f aca="false">SUMIFS('Nagarajan-ICICI 0314'!E:E,'Nagarajan-ICICI 0314'!C:C,A32)</f>
        <v>0</v>
      </c>
      <c r="D32" s="5" t="n">
        <f aca="false">COUNTIF('Nagarajan-ICICI 0314'!C:C,A32)</f>
        <v>4</v>
      </c>
    </row>
    <row r="33" customFormat="false" ht="15" hidden="false" customHeight="true" outlineLevel="0" collapsed="false">
      <c r="A33" s="5" t="s">
        <v>79</v>
      </c>
      <c r="B33" s="6" t="n">
        <f aca="false">SUMIFS('Nagarajan-ICICI 0314'!D:D,'Nagarajan-ICICI 0314'!C:C,A33)</f>
        <v>0</v>
      </c>
      <c r="C33" s="6" t="n">
        <f aca="false">SUMIFS('Nagarajan-ICICI 0314'!E:E,'Nagarajan-ICICI 0314'!C:C,A33)</f>
        <v>0</v>
      </c>
      <c r="D33" s="5" t="n">
        <f aca="false">COUNTIF('Nagarajan-ICICI 0314'!C:C,A33)</f>
        <v>0</v>
      </c>
    </row>
    <row r="34" customFormat="false" ht="15" hidden="false" customHeight="true" outlineLevel="0" collapsed="false">
      <c r="A34" s="5" t="s">
        <v>80</v>
      </c>
      <c r="B34" s="6" t="n">
        <f aca="false">SUMIFS('Nagarajan-ICICI 0314'!D:D,'Nagarajan-ICICI 0314'!C:C,A34)</f>
        <v>0</v>
      </c>
      <c r="C34" s="6" t="n">
        <f aca="false">SUMIFS('Nagarajan-ICICI 0314'!E:E,'Nagarajan-ICICI 0314'!C:C,A34)</f>
        <v>0</v>
      </c>
      <c r="D34" s="5" t="n">
        <f aca="false">COUNTIF('Nagarajan-ICICI 0314'!C:C,A34)</f>
        <v>0</v>
      </c>
    </row>
    <row r="35" customFormat="false" ht="15" hidden="false" customHeight="true" outlineLevel="0" collapsed="false">
      <c r="A35" s="5" t="s">
        <v>81</v>
      </c>
      <c r="B35" s="6" t="n">
        <f aca="false">SUMIFS('Nagarajan-ICICI 0314'!D:D,'Nagarajan-ICICI 0314'!C:C,A35)</f>
        <v>0</v>
      </c>
      <c r="C35" s="6" t="n">
        <f aca="false">SUMIFS('Nagarajan-ICICI 0314'!E:E,'Nagarajan-ICICI 0314'!C:C,A35)</f>
        <v>97000</v>
      </c>
      <c r="D35" s="5" t="n">
        <f aca="false">COUNTIF('Nagarajan-ICICI 0314'!C:C,A35)</f>
        <v>3</v>
      </c>
    </row>
    <row r="36" customFormat="false" ht="15" hidden="false" customHeight="true" outlineLevel="0" collapsed="false">
      <c r="A36" s="5" t="s">
        <v>82</v>
      </c>
      <c r="B36" s="6" t="n">
        <f aca="false">SUMIFS('Nagarajan-ICICI 0314'!D:D,'Nagarajan-ICICI 0314'!C:C,A36)</f>
        <v>80000</v>
      </c>
      <c r="C36" s="6" t="n">
        <f aca="false">SUMIFS('Nagarajan-ICICI 0314'!E:E,'Nagarajan-ICICI 0314'!C:C,A36)</f>
        <v>0</v>
      </c>
      <c r="D36" s="5" t="n">
        <f aca="false">COUNTIF('Nagarajan-ICICI 0314'!C:C,A36)</f>
        <v>1</v>
      </c>
    </row>
    <row r="37" customFormat="false" ht="15" hidden="false" customHeight="true" outlineLevel="0" collapsed="false">
      <c r="A37" s="5" t="s">
        <v>83</v>
      </c>
      <c r="B37" s="6" t="n">
        <f aca="false">SUMIFS('Nagarajan-ICICI 0314'!D:D,'Nagarajan-ICICI 0314'!C:C,A37)</f>
        <v>0</v>
      </c>
      <c r="C37" s="6" t="n">
        <f aca="false">SUMIFS('Nagarajan-ICICI 0314'!E:E,'Nagarajan-ICICI 0314'!C:C,A37)</f>
        <v>0</v>
      </c>
      <c r="D37" s="5" t="n">
        <f aca="false">COUNTIF('Nagarajan-ICICI 0314'!C:C,A37)</f>
        <v>0</v>
      </c>
    </row>
    <row r="38" customFormat="false" ht="15" hidden="false" customHeight="true" outlineLevel="0" collapsed="false">
      <c r="A38" s="7" t="s">
        <v>84</v>
      </c>
      <c r="B38" s="8" t="n">
        <f aca="false">SUM(B30:B37)</f>
        <v>450471.9</v>
      </c>
      <c r="C38" s="8" t="n">
        <f aca="false">SUM(C30:C37)</f>
        <v>360461</v>
      </c>
      <c r="D38" s="11"/>
    </row>
  </sheetData>
  <mergeCells count="5">
    <mergeCell ref="A1:D1"/>
    <mergeCell ref="A2:D2"/>
    <mergeCell ref="A4:D4"/>
    <mergeCell ref="A16:D16"/>
    <mergeCell ref="A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 collapsed="false" customWidth="true" hidden="false" outlineLevel="0" max="5" min="2" style="1" width="2"/>
  </cols>
  <sheetData>
    <row r="1" customFormat="false" ht="15.75" hidden="false" customHeight="true" outlineLevel="0" collapsed="false">
      <c r="A1" s="2" t="s">
        <v>87</v>
      </c>
      <c r="B1" s="2"/>
      <c r="C1" s="2"/>
      <c r="D1" s="2"/>
      <c r="E1" s="2"/>
    </row>
    <row r="3" customFormat="false" ht="15" hidden="false" customHeight="true" outlineLevel="0" collapsed="false">
      <c r="A3" s="12" t="s">
        <v>88</v>
      </c>
      <c r="B3" s="12"/>
      <c r="C3" s="12"/>
      <c r="D3" s="12"/>
      <c r="E3" s="12"/>
    </row>
    <row r="5" customFormat="false" ht="30" hidden="false" customHeight="true" outlineLevel="0" collapsed="false">
      <c r="A5" s="13" t="s">
        <v>89</v>
      </c>
      <c r="B5" s="13"/>
      <c r="C5" s="13"/>
      <c r="D5" s="13"/>
      <c r="E5" s="13"/>
    </row>
    <row r="7" customFormat="false" ht="15" hidden="false" customHeight="true" outlineLevel="0" collapsed="false">
      <c r="A7" s="13" t="s">
        <v>90</v>
      </c>
      <c r="B7" s="13"/>
      <c r="C7" s="13"/>
      <c r="D7" s="13"/>
      <c r="E7" s="13"/>
    </row>
    <row r="9" customFormat="false" ht="15" hidden="false" customHeight="true" outlineLevel="0" collapsed="false">
      <c r="A9" s="13" t="s">
        <v>91</v>
      </c>
      <c r="B9" s="13"/>
      <c r="C9" s="13"/>
      <c r="D9" s="13"/>
      <c r="E9" s="13"/>
    </row>
    <row r="11" customFormat="false" ht="15" hidden="false" customHeight="true" outlineLevel="0" collapsed="false">
      <c r="A11" s="13" t="s">
        <v>92</v>
      </c>
      <c r="B11" s="13"/>
      <c r="C11" s="13"/>
      <c r="D11" s="13"/>
      <c r="E11" s="13"/>
    </row>
    <row r="13" customFormat="false" ht="27.75" hidden="false" customHeight="true" outlineLevel="0" collapsed="false">
      <c r="A13" s="13" t="s">
        <v>93</v>
      </c>
      <c r="B13" s="13"/>
      <c r="C13" s="13"/>
      <c r="D13" s="13"/>
      <c r="E13" s="13"/>
    </row>
    <row r="15" customFormat="false" ht="15" hidden="false" customHeight="true" outlineLevel="0" collapsed="false">
      <c r="A15" s="14" t="s">
        <v>94</v>
      </c>
      <c r="B15" s="14"/>
      <c r="C15" s="14"/>
      <c r="D15" s="14"/>
      <c r="E15" s="14"/>
    </row>
    <row r="17" customFormat="false" ht="60" hidden="false" customHeight="true" outlineLevel="0" collapsed="false">
      <c r="A17" s="13" t="s">
        <v>95</v>
      </c>
      <c r="B17" s="13"/>
      <c r="C17" s="13"/>
      <c r="D17" s="13"/>
      <c r="E17" s="13"/>
    </row>
    <row r="19" customFormat="false" ht="54.75" hidden="false" customHeight="true" outlineLevel="0" collapsed="false">
      <c r="A19" s="13" t="s">
        <v>96</v>
      </c>
      <c r="B19" s="13"/>
      <c r="C19" s="13"/>
      <c r="D19" s="13"/>
      <c r="E19" s="13"/>
    </row>
    <row r="21" customFormat="false" ht="15" hidden="false" customHeight="true" outlineLevel="0" collapsed="false">
      <c r="A21" s="14" t="s">
        <v>97</v>
      </c>
      <c r="B21" s="14"/>
      <c r="C21" s="14"/>
      <c r="D21" s="14"/>
      <c r="E21" s="14"/>
    </row>
    <row r="23" customFormat="false" ht="45" hidden="false" customHeight="true" outlineLevel="0" collapsed="false">
      <c r="A23" s="13" t="s">
        <v>98</v>
      </c>
      <c r="B23" s="13"/>
      <c r="C23" s="13"/>
      <c r="D23" s="13"/>
      <c r="E23" s="13"/>
    </row>
    <row r="25" customFormat="false" ht="45" hidden="false" customHeight="true" outlineLevel="0" collapsed="false">
      <c r="A25" s="13" t="s">
        <v>99</v>
      </c>
      <c r="B25" s="13"/>
      <c r="C25" s="13"/>
      <c r="D25" s="13"/>
      <c r="E25" s="13"/>
    </row>
    <row r="27" customFormat="false" ht="45" hidden="false" customHeight="true" outlineLevel="0" collapsed="false">
      <c r="A27" s="13" t="s">
        <v>100</v>
      </c>
      <c r="B27" s="13"/>
      <c r="C27" s="13"/>
      <c r="D27" s="13"/>
      <c r="E27" s="13"/>
    </row>
    <row r="29" customFormat="false" ht="15" hidden="false" customHeight="true" outlineLevel="0" collapsed="false">
      <c r="A29" s="15" t="s">
        <v>101</v>
      </c>
      <c r="B29" s="15"/>
      <c r="C29" s="15"/>
      <c r="D29" s="15"/>
      <c r="E29" s="15"/>
    </row>
    <row r="31" customFormat="false" ht="54.75" hidden="false" customHeight="true" outlineLevel="0" collapsed="false">
      <c r="A31" s="13" t="s">
        <v>102</v>
      </c>
      <c r="B31" s="13"/>
      <c r="C31" s="13"/>
      <c r="D31" s="13"/>
      <c r="E31" s="13"/>
    </row>
    <row r="33" customFormat="false" ht="15" hidden="false" customHeight="true" outlineLevel="0" collapsed="false">
      <c r="A33" s="12" t="s">
        <v>103</v>
      </c>
      <c r="B33" s="12"/>
      <c r="C33" s="12"/>
      <c r="D33" s="12"/>
      <c r="E33" s="12"/>
    </row>
    <row r="35" customFormat="false" ht="15" hidden="false" customHeight="true" outlineLevel="0" collapsed="false">
      <c r="A35" s="13" t="s">
        <v>104</v>
      </c>
      <c r="B35" s="13"/>
      <c r="C35" s="13"/>
      <c r="D35" s="13"/>
      <c r="E35" s="13"/>
    </row>
    <row r="37" customFormat="false" ht="30" hidden="false" customHeight="true" outlineLevel="0" collapsed="false">
      <c r="A37" s="13" t="s">
        <v>105</v>
      </c>
      <c r="B37" s="13"/>
      <c r="C37" s="13"/>
      <c r="D37" s="13"/>
      <c r="E37" s="13"/>
    </row>
    <row r="39" customFormat="false" ht="30" hidden="false" customHeight="true" outlineLevel="0" collapsed="false">
      <c r="A39" s="13" t="s">
        <v>106</v>
      </c>
      <c r="B39" s="13"/>
      <c r="C39" s="13"/>
      <c r="D39" s="13"/>
      <c r="E39" s="13"/>
    </row>
  </sheetData>
  <mergeCells count="20">
    <mergeCell ref="A1:E1"/>
    <mergeCell ref="A3:E3"/>
    <mergeCell ref="A5:E5"/>
    <mergeCell ref="A7:E7"/>
    <mergeCell ref="A9:E9"/>
    <mergeCell ref="A11:E11"/>
    <mergeCell ref="A13:E13"/>
    <mergeCell ref="A15:E15"/>
    <mergeCell ref="A17:E17"/>
    <mergeCell ref="A19:E19"/>
    <mergeCell ref="A21:E21"/>
    <mergeCell ref="A23:E23"/>
    <mergeCell ref="A25:E25"/>
    <mergeCell ref="A27:E27"/>
    <mergeCell ref="A29:E29"/>
    <mergeCell ref="A31:E31"/>
    <mergeCell ref="A33:E33"/>
    <mergeCell ref="A35:E35"/>
    <mergeCell ref="A37:E37"/>
    <mergeCell ref="A39:E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3"/>
    <col collapsed="false" customWidth="true" hidden="false" outlineLevel="0" max="4" min="4" style="0" width="22"/>
    <col collapsed="false" customWidth="true" hidden="false" outlineLevel="0" max="5" min="5" style="0" width="52"/>
    <col collapsed="false" customWidth="true" hidden="false" outlineLevel="0" max="6" min="6" style="0" width="16"/>
    <col collapsed="false" customWidth="true" hidden="false" outlineLevel="0" max="7" min="7" style="0" width="14"/>
    <col collapsed="false" customWidth="true" hidden="false" outlineLevel="0" max="8" min="8" style="0" width="32"/>
    <col collapsed="false" customWidth="true" hidden="false" outlineLevel="0" max="9" min="9" style="0" width="34"/>
  </cols>
  <sheetData>
    <row r="1" customFormat="false" ht="16.15" hidden="false" customHeight="false" outlineLevel="0" collapsed="false">
      <c r="A1" s="16" t="s">
        <v>107</v>
      </c>
      <c r="B1" s="16"/>
      <c r="C1" s="16"/>
      <c r="D1" s="16"/>
      <c r="E1" s="16"/>
      <c r="F1" s="16"/>
      <c r="G1" s="16"/>
      <c r="H1" s="16"/>
      <c r="I1" s="16"/>
    </row>
    <row r="2" customFormat="false" ht="42" hidden="false" customHeight="true" outlineLevel="0" collapsed="false">
      <c r="A2" s="17" t="s">
        <v>108</v>
      </c>
      <c r="B2" s="17"/>
      <c r="C2" s="17"/>
      <c r="D2" s="17"/>
      <c r="E2" s="17"/>
      <c r="F2" s="17"/>
      <c r="G2" s="17"/>
      <c r="H2" s="17"/>
      <c r="I2" s="17"/>
    </row>
    <row r="4" customFormat="false" ht="15" hidden="false" customHeight="false" outlineLevel="0" collapsed="false">
      <c r="A4" s="18" t="s">
        <v>109</v>
      </c>
    </row>
    <row r="5" customFormat="false" ht="31.5" hidden="false" customHeight="true" outlineLevel="0" collapsed="false">
      <c r="A5" s="19" t="s">
        <v>110</v>
      </c>
      <c r="B5" s="19" t="s">
        <v>111</v>
      </c>
      <c r="C5" s="19" t="s">
        <v>112</v>
      </c>
      <c r="D5" s="19" t="s">
        <v>113</v>
      </c>
      <c r="E5" s="19" t="s">
        <v>114</v>
      </c>
      <c r="F5" s="19" t="s">
        <v>115</v>
      </c>
    </row>
    <row r="6" customFormat="false" ht="15" hidden="false" customHeight="false" outlineLevel="0" collapsed="false">
      <c r="A6" s="20" t="s">
        <v>116</v>
      </c>
      <c r="B6" s="21" t="n">
        <f aca="false">SUMIF(A11:A179,A6,F11:F179)</f>
        <v>203761</v>
      </c>
      <c r="C6" s="22" t="n">
        <f aca="false">COUNTIFS(A11:A179,A6,F11:F179,"&gt;0")</f>
        <v>76</v>
      </c>
      <c r="D6" s="21" t="n">
        <f aca="false">SUMIFS(F11:F179,A11:A179,A6,H11:H179,"&lt;&gt;")</f>
        <v>110000</v>
      </c>
      <c r="E6" s="21" t="n">
        <f aca="false">SUMIFS(F11:F179,A11:A179,A6,I11:I179,"&lt;&gt;")</f>
        <v>19100</v>
      </c>
      <c r="F6" s="21" t="n">
        <f aca="false">B6-D6-E6</f>
        <v>74661</v>
      </c>
    </row>
    <row r="7" customFormat="false" ht="15" hidden="false" customHeight="false" outlineLevel="0" collapsed="false">
      <c r="A7" s="20" t="s">
        <v>117</v>
      </c>
      <c r="B7" s="21" t="n">
        <f aca="false">SUMIF(A11:A179,A7,F11:F179)</f>
        <v>54884.9</v>
      </c>
      <c r="C7" s="22" t="n">
        <f aca="false">COUNTIFS(A11:A179,A7,F11:F179,"&gt;0")</f>
        <v>39</v>
      </c>
      <c r="D7" s="21" t="n">
        <f aca="false">SUMIFS(F11:F179,A11:A179,A7,H11:H179,"&lt;&gt;")</f>
        <v>0</v>
      </c>
      <c r="E7" s="21" t="n">
        <f aca="false">SUMIFS(F11:F179,A11:A179,A7,I11:I179,"&lt;&gt;")</f>
        <v>49315</v>
      </c>
      <c r="F7" s="21" t="n">
        <f aca="false">B7-D7-E7</f>
        <v>5569.9</v>
      </c>
    </row>
    <row r="9" customFormat="false" ht="15" hidden="false" customHeight="false" outlineLevel="0" collapsed="false">
      <c r="A9" s="18" t="s">
        <v>118</v>
      </c>
    </row>
    <row r="10" customFormat="false" ht="15" hidden="false" customHeight="false" outlineLevel="0" collapsed="false">
      <c r="A10" s="23" t="s">
        <v>110</v>
      </c>
      <c r="B10" s="23" t="s">
        <v>2</v>
      </c>
      <c r="C10" s="23" t="s">
        <v>119</v>
      </c>
      <c r="D10" s="23" t="s">
        <v>72</v>
      </c>
      <c r="E10" s="23" t="s">
        <v>120</v>
      </c>
      <c r="F10" s="23" t="s">
        <v>121</v>
      </c>
      <c r="G10" s="23" t="s">
        <v>122</v>
      </c>
      <c r="H10" s="23" t="s">
        <v>123</v>
      </c>
      <c r="I10" s="23" t="s">
        <v>124</v>
      </c>
    </row>
    <row r="11" customFormat="false" ht="15" hidden="false" customHeight="false" outlineLevel="0" collapsed="false">
      <c r="A11" s="22" t="s">
        <v>116</v>
      </c>
      <c r="B11" s="22" t="s">
        <v>36</v>
      </c>
      <c r="C11" s="22" t="s">
        <v>125</v>
      </c>
      <c r="D11" s="22" t="s">
        <v>76</v>
      </c>
      <c r="E11" s="22" t="s">
        <v>126</v>
      </c>
      <c r="F11" s="21" t="n">
        <v>3600</v>
      </c>
      <c r="G11" s="22" t="n">
        <v>0</v>
      </c>
      <c r="H11" s="22"/>
      <c r="I11" s="24" t="s">
        <v>127</v>
      </c>
    </row>
    <row r="12" customFormat="false" ht="15" hidden="false" customHeight="false" outlineLevel="0" collapsed="false">
      <c r="A12" s="22" t="s">
        <v>116</v>
      </c>
      <c r="B12" s="22" t="s">
        <v>36</v>
      </c>
      <c r="C12" s="22" t="s">
        <v>125</v>
      </c>
      <c r="D12" s="22" t="s">
        <v>76</v>
      </c>
      <c r="E12" s="22" t="s">
        <v>128</v>
      </c>
      <c r="F12" s="22" t="n">
        <v>0</v>
      </c>
      <c r="G12" s="21" t="n">
        <v>320</v>
      </c>
      <c r="H12" s="22"/>
      <c r="I12" s="22"/>
    </row>
    <row r="13" customFormat="false" ht="15" hidden="false" customHeight="false" outlineLevel="0" collapsed="false">
      <c r="A13" s="22" t="s">
        <v>116</v>
      </c>
      <c r="B13" s="22" t="s">
        <v>36</v>
      </c>
      <c r="C13" s="22" t="s">
        <v>125</v>
      </c>
      <c r="D13" s="22" t="s">
        <v>76</v>
      </c>
      <c r="E13" s="22" t="s">
        <v>129</v>
      </c>
      <c r="F13" s="22" t="n">
        <v>0</v>
      </c>
      <c r="G13" s="21" t="n">
        <v>1000</v>
      </c>
      <c r="H13" s="22"/>
      <c r="I13" s="22"/>
    </row>
    <row r="14" customFormat="false" ht="15" hidden="false" customHeight="false" outlineLevel="0" collapsed="false">
      <c r="A14" s="22" t="s">
        <v>116</v>
      </c>
      <c r="B14" s="22" t="s">
        <v>36</v>
      </c>
      <c r="C14" s="22" t="s">
        <v>130</v>
      </c>
      <c r="D14" s="22" t="s">
        <v>77</v>
      </c>
      <c r="E14" s="22" t="s">
        <v>131</v>
      </c>
      <c r="F14" s="22" t="n">
        <v>0</v>
      </c>
      <c r="G14" s="21" t="n">
        <v>2165</v>
      </c>
      <c r="H14" s="22"/>
      <c r="I14" s="22"/>
    </row>
    <row r="15" customFormat="false" ht="15" hidden="false" customHeight="false" outlineLevel="0" collapsed="false">
      <c r="A15" s="22" t="s">
        <v>116</v>
      </c>
      <c r="B15" s="22" t="s">
        <v>37</v>
      </c>
      <c r="C15" s="22" t="s">
        <v>125</v>
      </c>
      <c r="D15" s="22" t="s">
        <v>76</v>
      </c>
      <c r="E15" s="22" t="s">
        <v>132</v>
      </c>
      <c r="F15" s="21" t="n">
        <v>200</v>
      </c>
      <c r="G15" s="22" t="n">
        <v>0</v>
      </c>
      <c r="H15" s="22"/>
      <c r="I15" s="22"/>
    </row>
    <row r="16" customFormat="false" ht="15" hidden="false" customHeight="false" outlineLevel="0" collapsed="false">
      <c r="A16" s="22" t="s">
        <v>116</v>
      </c>
      <c r="B16" s="22" t="s">
        <v>37</v>
      </c>
      <c r="C16" s="22" t="s">
        <v>125</v>
      </c>
      <c r="D16" s="22" t="s">
        <v>76</v>
      </c>
      <c r="E16" s="22" t="s">
        <v>133</v>
      </c>
      <c r="F16" s="21" t="n">
        <v>5200</v>
      </c>
      <c r="G16" s="22" t="n">
        <v>0</v>
      </c>
      <c r="H16" s="22"/>
      <c r="I16" s="22"/>
    </row>
    <row r="17" customFormat="false" ht="15" hidden="false" customHeight="false" outlineLevel="0" collapsed="false">
      <c r="A17" s="22" t="s">
        <v>116</v>
      </c>
      <c r="B17" s="22" t="s">
        <v>37</v>
      </c>
      <c r="C17" s="22" t="s">
        <v>130</v>
      </c>
      <c r="D17" s="22" t="s">
        <v>77</v>
      </c>
      <c r="E17" s="22" t="s">
        <v>134</v>
      </c>
      <c r="F17" s="22" t="n">
        <v>0</v>
      </c>
      <c r="G17" s="21" t="n">
        <v>14295</v>
      </c>
      <c r="H17" s="22"/>
      <c r="I17" s="22"/>
    </row>
    <row r="18" customFormat="false" ht="15" hidden="false" customHeight="false" outlineLevel="0" collapsed="false">
      <c r="A18" s="22" t="s">
        <v>116</v>
      </c>
      <c r="B18" s="22" t="s">
        <v>38</v>
      </c>
      <c r="C18" s="22" t="s">
        <v>125</v>
      </c>
      <c r="D18" s="22" t="s">
        <v>76</v>
      </c>
      <c r="E18" s="22" t="s">
        <v>135</v>
      </c>
      <c r="F18" s="22" t="n">
        <v>0</v>
      </c>
      <c r="G18" s="21" t="n">
        <v>250</v>
      </c>
      <c r="H18" s="22"/>
      <c r="I18" s="22"/>
    </row>
    <row r="19" customFormat="false" ht="15" hidden="false" customHeight="false" outlineLevel="0" collapsed="false">
      <c r="A19" s="22" t="s">
        <v>116</v>
      </c>
      <c r="B19" s="22" t="s">
        <v>38</v>
      </c>
      <c r="C19" s="22" t="s">
        <v>125</v>
      </c>
      <c r="D19" s="22" t="s">
        <v>76</v>
      </c>
      <c r="E19" s="22" t="s">
        <v>136</v>
      </c>
      <c r="F19" s="21" t="n">
        <v>400</v>
      </c>
      <c r="G19" s="22" t="n">
        <v>0</v>
      </c>
      <c r="H19" s="22"/>
      <c r="I19" s="22"/>
    </row>
    <row r="20" customFormat="false" ht="15" hidden="false" customHeight="false" outlineLevel="0" collapsed="false">
      <c r="A20" s="22" t="s">
        <v>116</v>
      </c>
      <c r="B20" s="22" t="s">
        <v>38</v>
      </c>
      <c r="C20" s="22" t="s">
        <v>125</v>
      </c>
      <c r="D20" s="22" t="s">
        <v>76</v>
      </c>
      <c r="E20" s="22" t="s">
        <v>137</v>
      </c>
      <c r="F20" s="21" t="n">
        <v>30</v>
      </c>
      <c r="G20" s="22" t="n">
        <v>0</v>
      </c>
      <c r="H20" s="22"/>
      <c r="I20" s="22"/>
    </row>
    <row r="21" customFormat="false" ht="15" hidden="false" customHeight="false" outlineLevel="0" collapsed="false">
      <c r="A21" s="22" t="s">
        <v>116</v>
      </c>
      <c r="B21" s="22" t="s">
        <v>38</v>
      </c>
      <c r="C21" s="22" t="s">
        <v>125</v>
      </c>
      <c r="D21" s="22" t="s">
        <v>76</v>
      </c>
      <c r="E21" s="22" t="s">
        <v>138</v>
      </c>
      <c r="F21" s="22" t="n">
        <v>0</v>
      </c>
      <c r="G21" s="21" t="n">
        <v>1000</v>
      </c>
      <c r="H21" s="22"/>
      <c r="I21" s="22"/>
    </row>
    <row r="22" customFormat="false" ht="15" hidden="false" customHeight="false" outlineLevel="0" collapsed="false">
      <c r="A22" s="22" t="s">
        <v>116</v>
      </c>
      <c r="B22" s="22" t="s">
        <v>38</v>
      </c>
      <c r="C22" s="22" t="s">
        <v>125</v>
      </c>
      <c r="D22" s="22" t="s">
        <v>78</v>
      </c>
      <c r="E22" s="22" t="s">
        <v>139</v>
      </c>
      <c r="F22" s="22" t="n">
        <v>0</v>
      </c>
      <c r="G22" s="21" t="n">
        <v>40000</v>
      </c>
      <c r="H22" s="25" t="s">
        <v>140</v>
      </c>
      <c r="I22" s="22"/>
    </row>
    <row r="23" customFormat="false" ht="15" hidden="false" customHeight="false" outlineLevel="0" collapsed="false">
      <c r="A23" s="22" t="s">
        <v>116</v>
      </c>
      <c r="B23" s="22" t="s">
        <v>38</v>
      </c>
      <c r="C23" s="22" t="s">
        <v>125</v>
      </c>
      <c r="D23" s="22" t="s">
        <v>76</v>
      </c>
      <c r="E23" s="22" t="s">
        <v>141</v>
      </c>
      <c r="F23" s="22" t="n">
        <v>0</v>
      </c>
      <c r="G23" s="21" t="n">
        <v>1500</v>
      </c>
      <c r="H23" s="22"/>
      <c r="I23" s="22"/>
    </row>
    <row r="24" customFormat="false" ht="15" hidden="false" customHeight="false" outlineLevel="0" collapsed="false">
      <c r="A24" s="22" t="s">
        <v>116</v>
      </c>
      <c r="B24" s="22" t="s">
        <v>38</v>
      </c>
      <c r="C24" s="22" t="s">
        <v>130</v>
      </c>
      <c r="D24" s="22" t="s">
        <v>77</v>
      </c>
      <c r="E24" s="22" t="s">
        <v>142</v>
      </c>
      <c r="F24" s="22" t="n">
        <v>0</v>
      </c>
      <c r="G24" s="21" t="n">
        <v>8110</v>
      </c>
      <c r="H24" s="22"/>
      <c r="I24" s="22"/>
    </row>
    <row r="25" customFormat="false" ht="15" hidden="false" customHeight="false" outlineLevel="0" collapsed="false">
      <c r="A25" s="22" t="s">
        <v>116</v>
      </c>
      <c r="B25" s="22" t="s">
        <v>38</v>
      </c>
      <c r="C25" s="22" t="s">
        <v>130</v>
      </c>
      <c r="D25" s="22" t="s">
        <v>78</v>
      </c>
      <c r="E25" s="22" t="s">
        <v>143</v>
      </c>
      <c r="F25" s="21" t="n">
        <v>40000</v>
      </c>
      <c r="G25" s="22" t="n">
        <v>0</v>
      </c>
      <c r="H25" s="25" t="s">
        <v>140</v>
      </c>
      <c r="I25" s="22"/>
    </row>
    <row r="26" customFormat="false" ht="15" hidden="false" customHeight="false" outlineLevel="0" collapsed="false">
      <c r="A26" s="22" t="s">
        <v>116</v>
      </c>
      <c r="B26" s="22" t="s">
        <v>39</v>
      </c>
      <c r="C26" s="22" t="s">
        <v>125</v>
      </c>
      <c r="D26" s="22" t="s">
        <v>76</v>
      </c>
      <c r="E26" s="22" t="s">
        <v>144</v>
      </c>
      <c r="F26" s="21" t="n">
        <v>200</v>
      </c>
      <c r="G26" s="22" t="n">
        <v>0</v>
      </c>
      <c r="H26" s="22"/>
      <c r="I26" s="22"/>
    </row>
    <row r="27" customFormat="false" ht="15" hidden="false" customHeight="false" outlineLevel="0" collapsed="false">
      <c r="A27" s="22" t="s">
        <v>116</v>
      </c>
      <c r="B27" s="22" t="s">
        <v>39</v>
      </c>
      <c r="C27" s="22" t="s">
        <v>125</v>
      </c>
      <c r="D27" s="22" t="s">
        <v>76</v>
      </c>
      <c r="E27" s="22" t="s">
        <v>145</v>
      </c>
      <c r="F27" s="21" t="n">
        <v>8600</v>
      </c>
      <c r="G27" s="22" t="n">
        <v>0</v>
      </c>
      <c r="H27" s="22"/>
      <c r="I27" s="22"/>
    </row>
    <row r="28" customFormat="false" ht="15" hidden="false" customHeight="false" outlineLevel="0" collapsed="false">
      <c r="A28" s="22" t="s">
        <v>116</v>
      </c>
      <c r="B28" s="22" t="s">
        <v>39</v>
      </c>
      <c r="C28" s="22" t="s">
        <v>125</v>
      </c>
      <c r="D28" s="22" t="s">
        <v>76</v>
      </c>
      <c r="E28" s="22" t="s">
        <v>146</v>
      </c>
      <c r="F28" s="21" t="n">
        <v>3000</v>
      </c>
      <c r="G28" s="22" t="n">
        <v>0</v>
      </c>
      <c r="H28" s="22"/>
      <c r="I28" s="22"/>
    </row>
    <row r="29" customFormat="false" ht="15" hidden="false" customHeight="false" outlineLevel="0" collapsed="false">
      <c r="A29" s="22" t="s">
        <v>116</v>
      </c>
      <c r="B29" s="22" t="s">
        <v>39</v>
      </c>
      <c r="C29" s="22" t="s">
        <v>125</v>
      </c>
      <c r="D29" s="22" t="s">
        <v>76</v>
      </c>
      <c r="E29" s="22" t="s">
        <v>147</v>
      </c>
      <c r="F29" s="21" t="n">
        <v>200</v>
      </c>
      <c r="G29" s="22" t="n">
        <v>0</v>
      </c>
      <c r="H29" s="22"/>
      <c r="I29" s="22"/>
    </row>
    <row r="30" customFormat="false" ht="15" hidden="false" customHeight="false" outlineLevel="0" collapsed="false">
      <c r="A30" s="22" t="s">
        <v>116</v>
      </c>
      <c r="B30" s="22" t="s">
        <v>39</v>
      </c>
      <c r="C30" s="22" t="s">
        <v>130</v>
      </c>
      <c r="D30" s="22" t="s">
        <v>77</v>
      </c>
      <c r="E30" s="22" t="s">
        <v>148</v>
      </c>
      <c r="F30" s="22" t="n">
        <v>0</v>
      </c>
      <c r="G30" s="21" t="n">
        <v>2635</v>
      </c>
      <c r="H30" s="22"/>
      <c r="I30" s="22"/>
    </row>
    <row r="31" customFormat="false" ht="15" hidden="false" customHeight="false" outlineLevel="0" collapsed="false">
      <c r="A31" s="22" t="s">
        <v>116</v>
      </c>
      <c r="B31" s="22" t="s">
        <v>40</v>
      </c>
      <c r="C31" s="22" t="s">
        <v>125</v>
      </c>
      <c r="D31" s="22" t="s">
        <v>76</v>
      </c>
      <c r="E31" s="22" t="s">
        <v>149</v>
      </c>
      <c r="F31" s="21" t="n">
        <v>50</v>
      </c>
      <c r="G31" s="22" t="n">
        <v>0</v>
      </c>
      <c r="H31" s="22"/>
      <c r="I31" s="22"/>
    </row>
    <row r="32" customFormat="false" ht="15" hidden="false" customHeight="false" outlineLevel="0" collapsed="false">
      <c r="A32" s="22" t="s">
        <v>116</v>
      </c>
      <c r="B32" s="22" t="s">
        <v>40</v>
      </c>
      <c r="C32" s="22" t="s">
        <v>125</v>
      </c>
      <c r="D32" s="22" t="s">
        <v>76</v>
      </c>
      <c r="E32" s="22" t="s">
        <v>150</v>
      </c>
      <c r="F32" s="21" t="n">
        <v>500</v>
      </c>
      <c r="G32" s="22" t="n">
        <v>0</v>
      </c>
      <c r="H32" s="22"/>
      <c r="I32" s="22"/>
    </row>
    <row r="33" customFormat="false" ht="15" hidden="false" customHeight="false" outlineLevel="0" collapsed="false">
      <c r="A33" s="22" t="s">
        <v>116</v>
      </c>
      <c r="B33" s="22" t="s">
        <v>40</v>
      </c>
      <c r="C33" s="22" t="s">
        <v>125</v>
      </c>
      <c r="D33" s="22" t="s">
        <v>76</v>
      </c>
      <c r="E33" s="22" t="s">
        <v>151</v>
      </c>
      <c r="F33" s="22" t="n">
        <v>0</v>
      </c>
      <c r="G33" s="21" t="n">
        <v>130</v>
      </c>
      <c r="H33" s="22"/>
      <c r="I33" s="22"/>
    </row>
    <row r="34" customFormat="false" ht="15" hidden="false" customHeight="false" outlineLevel="0" collapsed="false">
      <c r="A34" s="22" t="s">
        <v>116</v>
      </c>
      <c r="B34" s="22" t="s">
        <v>40</v>
      </c>
      <c r="C34" s="22" t="s">
        <v>130</v>
      </c>
      <c r="D34" s="22" t="s">
        <v>77</v>
      </c>
      <c r="E34" s="22" t="s">
        <v>152</v>
      </c>
      <c r="F34" s="22" t="n">
        <v>0</v>
      </c>
      <c r="G34" s="21" t="n">
        <v>1700</v>
      </c>
      <c r="H34" s="22"/>
      <c r="I34" s="22"/>
    </row>
    <row r="35" customFormat="false" ht="15" hidden="false" customHeight="false" outlineLevel="0" collapsed="false">
      <c r="A35" s="22" t="s">
        <v>116</v>
      </c>
      <c r="B35" s="22" t="s">
        <v>41</v>
      </c>
      <c r="C35" s="22" t="s">
        <v>125</v>
      </c>
      <c r="D35" s="22" t="s">
        <v>76</v>
      </c>
      <c r="E35" s="22" t="s">
        <v>153</v>
      </c>
      <c r="F35" s="21" t="n">
        <v>20</v>
      </c>
      <c r="G35" s="22" t="n">
        <v>0</v>
      </c>
      <c r="H35" s="22"/>
      <c r="I35" s="22"/>
    </row>
    <row r="36" customFormat="false" ht="15" hidden="false" customHeight="false" outlineLevel="0" collapsed="false">
      <c r="A36" s="22" t="s">
        <v>116</v>
      </c>
      <c r="B36" s="22" t="s">
        <v>41</v>
      </c>
      <c r="C36" s="22" t="s">
        <v>125</v>
      </c>
      <c r="D36" s="22" t="s">
        <v>78</v>
      </c>
      <c r="E36" s="22" t="s">
        <v>154</v>
      </c>
      <c r="F36" s="22" t="n">
        <v>0</v>
      </c>
      <c r="G36" s="21" t="n">
        <v>10000</v>
      </c>
      <c r="H36" s="25" t="s">
        <v>140</v>
      </c>
      <c r="I36" s="22"/>
    </row>
    <row r="37" customFormat="false" ht="15" hidden="false" customHeight="false" outlineLevel="0" collapsed="false">
      <c r="A37" s="22" t="s">
        <v>116</v>
      </c>
      <c r="B37" s="22" t="s">
        <v>41</v>
      </c>
      <c r="C37" s="22" t="s">
        <v>125</v>
      </c>
      <c r="D37" s="22" t="s">
        <v>76</v>
      </c>
      <c r="E37" s="22" t="s">
        <v>155</v>
      </c>
      <c r="F37" s="21" t="n">
        <v>3600</v>
      </c>
      <c r="G37" s="22" t="n">
        <v>0</v>
      </c>
      <c r="H37" s="22"/>
      <c r="I37" s="22"/>
    </row>
    <row r="38" customFormat="false" ht="15" hidden="false" customHeight="false" outlineLevel="0" collapsed="false">
      <c r="A38" s="22" t="s">
        <v>116</v>
      </c>
      <c r="B38" s="22" t="s">
        <v>41</v>
      </c>
      <c r="C38" s="22" t="s">
        <v>125</v>
      </c>
      <c r="D38" s="22" t="s">
        <v>80</v>
      </c>
      <c r="E38" s="22" t="s">
        <v>156</v>
      </c>
      <c r="F38" s="21" t="n">
        <v>50000</v>
      </c>
      <c r="G38" s="22" t="n">
        <v>0</v>
      </c>
      <c r="H38" s="25" t="s">
        <v>157</v>
      </c>
      <c r="I38" s="22"/>
    </row>
    <row r="39" customFormat="false" ht="15" hidden="false" customHeight="false" outlineLevel="0" collapsed="false">
      <c r="A39" s="22" t="s">
        <v>116</v>
      </c>
      <c r="B39" s="22" t="s">
        <v>41</v>
      </c>
      <c r="C39" s="22" t="s">
        <v>125</v>
      </c>
      <c r="D39" s="22" t="s">
        <v>76</v>
      </c>
      <c r="E39" s="22" t="s">
        <v>158</v>
      </c>
      <c r="F39" s="21" t="n">
        <v>30</v>
      </c>
      <c r="G39" s="22" t="n">
        <v>0</v>
      </c>
      <c r="H39" s="22"/>
      <c r="I39" s="22"/>
    </row>
    <row r="40" customFormat="false" ht="15" hidden="false" customHeight="false" outlineLevel="0" collapsed="false">
      <c r="A40" s="22" t="s">
        <v>116</v>
      </c>
      <c r="B40" s="22" t="s">
        <v>41</v>
      </c>
      <c r="C40" s="22" t="s">
        <v>130</v>
      </c>
      <c r="D40" s="22" t="s">
        <v>77</v>
      </c>
      <c r="E40" s="22" t="s">
        <v>159</v>
      </c>
      <c r="F40" s="22" t="n">
        <v>0</v>
      </c>
      <c r="G40" s="21" t="n">
        <v>3802</v>
      </c>
      <c r="H40" s="22"/>
      <c r="I40" s="22"/>
    </row>
    <row r="41" customFormat="false" ht="15" hidden="false" customHeight="false" outlineLevel="0" collapsed="false">
      <c r="A41" s="22" t="s">
        <v>116</v>
      </c>
      <c r="B41" s="22" t="s">
        <v>41</v>
      </c>
      <c r="C41" s="22" t="s">
        <v>130</v>
      </c>
      <c r="D41" s="22" t="s">
        <v>78</v>
      </c>
      <c r="E41" s="22" t="s">
        <v>160</v>
      </c>
      <c r="F41" s="21" t="n">
        <v>10000</v>
      </c>
      <c r="G41" s="22" t="n">
        <v>0</v>
      </c>
      <c r="H41" s="25" t="s">
        <v>140</v>
      </c>
      <c r="I41" s="22"/>
    </row>
    <row r="42" customFormat="false" ht="15" hidden="false" customHeight="false" outlineLevel="0" collapsed="false">
      <c r="A42" s="22" t="s">
        <v>116</v>
      </c>
      <c r="B42" s="22" t="s">
        <v>42</v>
      </c>
      <c r="C42" s="22" t="s">
        <v>125</v>
      </c>
      <c r="D42" s="22" t="s">
        <v>76</v>
      </c>
      <c r="E42" s="22" t="s">
        <v>161</v>
      </c>
      <c r="F42" s="21" t="n">
        <v>100</v>
      </c>
      <c r="G42" s="22" t="n">
        <v>0</v>
      </c>
      <c r="H42" s="22"/>
      <c r="I42" s="22"/>
    </row>
    <row r="43" customFormat="false" ht="15" hidden="false" customHeight="false" outlineLevel="0" collapsed="false">
      <c r="A43" s="22" t="s">
        <v>116</v>
      </c>
      <c r="B43" s="22" t="s">
        <v>42</v>
      </c>
      <c r="C43" s="22" t="s">
        <v>125</v>
      </c>
      <c r="D43" s="22" t="s">
        <v>76</v>
      </c>
      <c r="E43" s="22" t="s">
        <v>162</v>
      </c>
      <c r="F43" s="22" t="n">
        <v>0</v>
      </c>
      <c r="G43" s="21" t="n">
        <v>4000</v>
      </c>
      <c r="H43" s="22"/>
      <c r="I43" s="22"/>
    </row>
    <row r="44" customFormat="false" ht="15" hidden="false" customHeight="false" outlineLevel="0" collapsed="false">
      <c r="A44" s="22" t="s">
        <v>116</v>
      </c>
      <c r="B44" s="22" t="s">
        <v>42</v>
      </c>
      <c r="C44" s="22" t="s">
        <v>125</v>
      </c>
      <c r="D44" s="22" t="s">
        <v>79</v>
      </c>
      <c r="E44" s="22" t="s">
        <v>163</v>
      </c>
      <c r="F44" s="21" t="n">
        <v>13319</v>
      </c>
      <c r="G44" s="22" t="n">
        <v>0</v>
      </c>
      <c r="H44" s="22"/>
      <c r="I44" s="22"/>
    </row>
    <row r="45" customFormat="false" ht="15" hidden="false" customHeight="false" outlineLevel="0" collapsed="false">
      <c r="A45" s="22" t="s">
        <v>116</v>
      </c>
      <c r="B45" s="22" t="s">
        <v>42</v>
      </c>
      <c r="C45" s="22" t="s">
        <v>125</v>
      </c>
      <c r="D45" s="22" t="s">
        <v>79</v>
      </c>
      <c r="E45" s="22" t="s">
        <v>163</v>
      </c>
      <c r="F45" s="22" t="n">
        <v>0</v>
      </c>
      <c r="G45" s="21" t="n">
        <v>13319</v>
      </c>
      <c r="H45" s="22"/>
      <c r="I45" s="22"/>
    </row>
    <row r="46" customFormat="false" ht="15" hidden="false" customHeight="false" outlineLevel="0" collapsed="false">
      <c r="A46" s="22" t="s">
        <v>116</v>
      </c>
      <c r="B46" s="22" t="s">
        <v>42</v>
      </c>
      <c r="C46" s="22" t="s">
        <v>125</v>
      </c>
      <c r="D46" s="22" t="s">
        <v>78</v>
      </c>
      <c r="E46" s="22" t="s">
        <v>164</v>
      </c>
      <c r="F46" s="22" t="n">
        <v>0</v>
      </c>
      <c r="G46" s="21" t="n">
        <v>10000</v>
      </c>
      <c r="H46" s="25" t="s">
        <v>140</v>
      </c>
      <c r="I46" s="22"/>
    </row>
    <row r="47" customFormat="false" ht="15" hidden="false" customHeight="false" outlineLevel="0" collapsed="false">
      <c r="A47" s="22" t="s">
        <v>116</v>
      </c>
      <c r="B47" s="22" t="s">
        <v>42</v>
      </c>
      <c r="C47" s="22" t="s">
        <v>130</v>
      </c>
      <c r="D47" s="22" t="s">
        <v>77</v>
      </c>
      <c r="E47" s="22" t="s">
        <v>165</v>
      </c>
      <c r="F47" s="22" t="n">
        <v>0</v>
      </c>
      <c r="G47" s="21" t="n">
        <v>10860</v>
      </c>
      <c r="H47" s="22"/>
      <c r="I47" s="22"/>
    </row>
    <row r="48" customFormat="false" ht="15" hidden="false" customHeight="false" outlineLevel="0" collapsed="false">
      <c r="A48" s="22" t="s">
        <v>116</v>
      </c>
      <c r="B48" s="22" t="s">
        <v>42</v>
      </c>
      <c r="C48" s="22" t="s">
        <v>130</v>
      </c>
      <c r="D48" s="22" t="s">
        <v>76</v>
      </c>
      <c r="E48" s="22" t="s">
        <v>166</v>
      </c>
      <c r="F48" s="21" t="n">
        <v>3600</v>
      </c>
      <c r="G48" s="22" t="n">
        <v>0</v>
      </c>
      <c r="H48" s="22"/>
      <c r="I48" s="24" t="s">
        <v>127</v>
      </c>
    </row>
    <row r="49" customFormat="false" ht="15" hidden="false" customHeight="false" outlineLevel="0" collapsed="false">
      <c r="A49" s="22" t="s">
        <v>116</v>
      </c>
      <c r="B49" s="22" t="s">
        <v>42</v>
      </c>
      <c r="C49" s="22" t="s">
        <v>130</v>
      </c>
      <c r="D49" s="22" t="s">
        <v>78</v>
      </c>
      <c r="E49" s="22" t="s">
        <v>167</v>
      </c>
      <c r="F49" s="21" t="n">
        <v>10000</v>
      </c>
      <c r="G49" s="22" t="n">
        <v>0</v>
      </c>
      <c r="H49" s="25" t="s">
        <v>140</v>
      </c>
      <c r="I49" s="22"/>
    </row>
    <row r="50" customFormat="false" ht="15" hidden="false" customHeight="false" outlineLevel="0" collapsed="false">
      <c r="A50" s="22" t="s">
        <v>116</v>
      </c>
      <c r="B50" s="22" t="s">
        <v>42</v>
      </c>
      <c r="C50" s="22" t="s">
        <v>130</v>
      </c>
      <c r="D50" s="22" t="s">
        <v>76</v>
      </c>
      <c r="E50" s="22" t="s">
        <v>168</v>
      </c>
      <c r="F50" s="21" t="n">
        <v>140</v>
      </c>
      <c r="G50" s="22" t="n">
        <v>0</v>
      </c>
      <c r="H50" s="22"/>
      <c r="I50" s="22"/>
    </row>
    <row r="51" customFormat="false" ht="15" hidden="false" customHeight="false" outlineLevel="0" collapsed="false">
      <c r="A51" s="22" t="s">
        <v>116</v>
      </c>
      <c r="B51" s="22" t="s">
        <v>42</v>
      </c>
      <c r="C51" s="22" t="s">
        <v>130</v>
      </c>
      <c r="D51" s="22" t="s">
        <v>76</v>
      </c>
      <c r="E51" s="22" t="s">
        <v>169</v>
      </c>
      <c r="F51" s="21" t="n">
        <v>225</v>
      </c>
      <c r="G51" s="22" t="n">
        <v>0</v>
      </c>
      <c r="H51" s="22"/>
      <c r="I51" s="22"/>
    </row>
    <row r="52" customFormat="false" ht="15" hidden="false" customHeight="false" outlineLevel="0" collapsed="false">
      <c r="A52" s="22" t="s">
        <v>116</v>
      </c>
      <c r="B52" s="22" t="s">
        <v>42</v>
      </c>
      <c r="C52" s="22" t="s">
        <v>130</v>
      </c>
      <c r="D52" s="22" t="s">
        <v>76</v>
      </c>
      <c r="E52" s="22" t="s">
        <v>170</v>
      </c>
      <c r="F52" s="21" t="n">
        <v>20</v>
      </c>
      <c r="G52" s="22" t="n">
        <v>0</v>
      </c>
      <c r="H52" s="22"/>
      <c r="I52" s="22"/>
    </row>
    <row r="53" customFormat="false" ht="15" hidden="false" customHeight="false" outlineLevel="0" collapsed="false">
      <c r="A53" s="22" t="s">
        <v>116</v>
      </c>
      <c r="B53" s="22" t="s">
        <v>43</v>
      </c>
      <c r="C53" s="22" t="s">
        <v>125</v>
      </c>
      <c r="D53" s="22" t="s">
        <v>79</v>
      </c>
      <c r="E53" s="22" t="s">
        <v>171</v>
      </c>
      <c r="F53" s="21" t="n">
        <v>13319</v>
      </c>
      <c r="G53" s="22" t="n">
        <v>0</v>
      </c>
      <c r="H53" s="22"/>
      <c r="I53" s="22"/>
    </row>
    <row r="54" customFormat="false" ht="15" hidden="false" customHeight="false" outlineLevel="0" collapsed="false">
      <c r="A54" s="22" t="s">
        <v>116</v>
      </c>
      <c r="B54" s="22" t="s">
        <v>43</v>
      </c>
      <c r="C54" s="22" t="s">
        <v>125</v>
      </c>
      <c r="D54" s="22" t="s">
        <v>76</v>
      </c>
      <c r="E54" s="22" t="s">
        <v>172</v>
      </c>
      <c r="F54" s="22" t="n">
        <v>0</v>
      </c>
      <c r="G54" s="21" t="n">
        <v>1860</v>
      </c>
      <c r="H54" s="22"/>
      <c r="I54" s="22"/>
    </row>
    <row r="55" customFormat="false" ht="15" hidden="false" customHeight="false" outlineLevel="0" collapsed="false">
      <c r="A55" s="22" t="s">
        <v>116</v>
      </c>
      <c r="B55" s="22" t="s">
        <v>43</v>
      </c>
      <c r="C55" s="22" t="s">
        <v>125</v>
      </c>
      <c r="D55" s="22" t="s">
        <v>76</v>
      </c>
      <c r="E55" s="22" t="s">
        <v>173</v>
      </c>
      <c r="F55" s="22" t="n">
        <v>0</v>
      </c>
      <c r="G55" s="21" t="n">
        <v>180</v>
      </c>
      <c r="H55" s="22"/>
      <c r="I55" s="22"/>
    </row>
    <row r="56" customFormat="false" ht="15" hidden="false" customHeight="false" outlineLevel="0" collapsed="false">
      <c r="A56" s="22" t="s">
        <v>116</v>
      </c>
      <c r="B56" s="22" t="s">
        <v>43</v>
      </c>
      <c r="C56" s="22" t="s">
        <v>130</v>
      </c>
      <c r="D56" s="22" t="s">
        <v>77</v>
      </c>
      <c r="E56" s="22" t="s">
        <v>174</v>
      </c>
      <c r="F56" s="22" t="n">
        <v>0</v>
      </c>
      <c r="G56" s="21" t="n">
        <v>3847</v>
      </c>
      <c r="H56" s="22"/>
      <c r="I56" s="22"/>
    </row>
    <row r="57" customFormat="false" ht="15" hidden="false" customHeight="false" outlineLevel="0" collapsed="false">
      <c r="A57" s="22" t="s">
        <v>116</v>
      </c>
      <c r="B57" s="22" t="s">
        <v>43</v>
      </c>
      <c r="C57" s="22" t="s">
        <v>130</v>
      </c>
      <c r="D57" s="22" t="s">
        <v>76</v>
      </c>
      <c r="E57" s="22" t="s">
        <v>175</v>
      </c>
      <c r="F57" s="21" t="n">
        <v>30</v>
      </c>
      <c r="G57" s="22" t="n">
        <v>0</v>
      </c>
      <c r="H57" s="22"/>
      <c r="I57" s="22"/>
    </row>
    <row r="58" customFormat="false" ht="15" hidden="false" customHeight="false" outlineLevel="0" collapsed="false">
      <c r="A58" s="22" t="s">
        <v>116</v>
      </c>
      <c r="B58" s="22" t="s">
        <v>43</v>
      </c>
      <c r="C58" s="22" t="s">
        <v>130</v>
      </c>
      <c r="D58" s="22" t="s">
        <v>76</v>
      </c>
      <c r="E58" s="22" t="s">
        <v>176</v>
      </c>
      <c r="F58" s="21" t="n">
        <v>30</v>
      </c>
      <c r="G58" s="22" t="n">
        <v>0</v>
      </c>
      <c r="H58" s="22"/>
      <c r="I58" s="22"/>
    </row>
    <row r="59" customFormat="false" ht="15" hidden="false" customHeight="false" outlineLevel="0" collapsed="false">
      <c r="A59" s="22" t="s">
        <v>116</v>
      </c>
      <c r="B59" s="22" t="s">
        <v>43</v>
      </c>
      <c r="C59" s="22" t="s">
        <v>130</v>
      </c>
      <c r="D59" s="22" t="s">
        <v>76</v>
      </c>
      <c r="E59" s="22" t="s">
        <v>177</v>
      </c>
      <c r="F59" s="21" t="n">
        <v>50</v>
      </c>
      <c r="G59" s="22" t="n">
        <v>0</v>
      </c>
      <c r="H59" s="22"/>
      <c r="I59" s="22"/>
    </row>
    <row r="60" customFormat="false" ht="15" hidden="false" customHeight="false" outlineLevel="0" collapsed="false">
      <c r="A60" s="22" t="s">
        <v>116</v>
      </c>
      <c r="B60" s="22" t="s">
        <v>43</v>
      </c>
      <c r="C60" s="22" t="s">
        <v>130</v>
      </c>
      <c r="D60" s="22" t="s">
        <v>76</v>
      </c>
      <c r="E60" s="22" t="s">
        <v>178</v>
      </c>
      <c r="F60" s="21" t="n">
        <v>60</v>
      </c>
      <c r="G60" s="22" t="n">
        <v>0</v>
      </c>
      <c r="H60" s="22"/>
      <c r="I60" s="22"/>
    </row>
    <row r="61" customFormat="false" ht="15" hidden="false" customHeight="false" outlineLevel="0" collapsed="false">
      <c r="A61" s="22" t="s">
        <v>116</v>
      </c>
      <c r="B61" s="22" t="s">
        <v>43</v>
      </c>
      <c r="C61" s="22" t="s">
        <v>130</v>
      </c>
      <c r="D61" s="22" t="s">
        <v>76</v>
      </c>
      <c r="E61" s="22" t="s">
        <v>179</v>
      </c>
      <c r="F61" s="21" t="n">
        <v>30</v>
      </c>
      <c r="G61" s="22" t="n">
        <v>0</v>
      </c>
      <c r="H61" s="22"/>
      <c r="I61" s="22"/>
    </row>
    <row r="62" customFormat="false" ht="15" hidden="false" customHeight="false" outlineLevel="0" collapsed="false">
      <c r="A62" s="22" t="s">
        <v>116</v>
      </c>
      <c r="B62" s="22" t="s">
        <v>43</v>
      </c>
      <c r="C62" s="22" t="s">
        <v>130</v>
      </c>
      <c r="D62" s="22" t="s">
        <v>76</v>
      </c>
      <c r="E62" s="22" t="s">
        <v>180</v>
      </c>
      <c r="F62" s="21" t="n">
        <v>250</v>
      </c>
      <c r="G62" s="22" t="n">
        <v>0</v>
      </c>
      <c r="H62" s="22"/>
      <c r="I62" s="22"/>
    </row>
    <row r="63" customFormat="false" ht="15" hidden="false" customHeight="false" outlineLevel="0" collapsed="false">
      <c r="A63" s="22" t="s">
        <v>116</v>
      </c>
      <c r="B63" s="22" t="s">
        <v>43</v>
      </c>
      <c r="C63" s="22" t="s">
        <v>130</v>
      </c>
      <c r="D63" s="22" t="s">
        <v>76</v>
      </c>
      <c r="E63" s="22" t="s">
        <v>181</v>
      </c>
      <c r="F63" s="21" t="n">
        <v>800</v>
      </c>
      <c r="G63" s="22" t="n">
        <v>0</v>
      </c>
      <c r="H63" s="22"/>
      <c r="I63" s="22"/>
    </row>
    <row r="64" customFormat="false" ht="15" hidden="false" customHeight="false" outlineLevel="0" collapsed="false">
      <c r="A64" s="22" t="s">
        <v>116</v>
      </c>
      <c r="B64" s="22" t="s">
        <v>44</v>
      </c>
      <c r="C64" s="22" t="s">
        <v>130</v>
      </c>
      <c r="D64" s="22" t="s">
        <v>77</v>
      </c>
      <c r="E64" s="22" t="s">
        <v>182</v>
      </c>
      <c r="F64" s="22" t="n">
        <v>0</v>
      </c>
      <c r="G64" s="21" t="n">
        <v>6065</v>
      </c>
      <c r="H64" s="22"/>
      <c r="I64" s="22"/>
    </row>
    <row r="65" customFormat="false" ht="15" hidden="false" customHeight="false" outlineLevel="0" collapsed="false">
      <c r="A65" s="22" t="s">
        <v>116</v>
      </c>
      <c r="B65" s="22" t="s">
        <v>44</v>
      </c>
      <c r="C65" s="22" t="s">
        <v>130</v>
      </c>
      <c r="D65" s="22" t="s">
        <v>76</v>
      </c>
      <c r="E65" s="22" t="s">
        <v>183</v>
      </c>
      <c r="F65" s="21" t="n">
        <v>300</v>
      </c>
      <c r="G65" s="22" t="n">
        <v>0</v>
      </c>
      <c r="H65" s="22"/>
      <c r="I65" s="22"/>
    </row>
    <row r="66" customFormat="false" ht="15" hidden="false" customHeight="false" outlineLevel="0" collapsed="false">
      <c r="A66" s="22" t="s">
        <v>116</v>
      </c>
      <c r="B66" s="22" t="s">
        <v>44</v>
      </c>
      <c r="C66" s="22" t="s">
        <v>130</v>
      </c>
      <c r="D66" s="22" t="s">
        <v>76</v>
      </c>
      <c r="E66" s="22" t="s">
        <v>184</v>
      </c>
      <c r="F66" s="21" t="n">
        <v>35</v>
      </c>
      <c r="G66" s="22" t="n">
        <v>0</v>
      </c>
      <c r="H66" s="22"/>
      <c r="I66" s="22"/>
    </row>
    <row r="67" customFormat="false" ht="15" hidden="false" customHeight="false" outlineLevel="0" collapsed="false">
      <c r="A67" s="22" t="s">
        <v>116</v>
      </c>
      <c r="B67" s="22" t="s">
        <v>44</v>
      </c>
      <c r="C67" s="22" t="s">
        <v>130</v>
      </c>
      <c r="D67" s="22" t="s">
        <v>76</v>
      </c>
      <c r="E67" s="22" t="s">
        <v>185</v>
      </c>
      <c r="F67" s="21" t="n">
        <v>20</v>
      </c>
      <c r="G67" s="22" t="n">
        <v>0</v>
      </c>
      <c r="H67" s="22"/>
      <c r="I67" s="22"/>
    </row>
    <row r="68" customFormat="false" ht="15" hidden="false" customHeight="false" outlineLevel="0" collapsed="false">
      <c r="A68" s="22" t="s">
        <v>116</v>
      </c>
      <c r="B68" s="22" t="s">
        <v>44</v>
      </c>
      <c r="C68" s="22" t="s">
        <v>130</v>
      </c>
      <c r="D68" s="22" t="s">
        <v>76</v>
      </c>
      <c r="E68" s="22" t="s">
        <v>186</v>
      </c>
      <c r="F68" s="21" t="n">
        <v>30</v>
      </c>
      <c r="G68" s="22" t="n">
        <v>0</v>
      </c>
      <c r="H68" s="22"/>
      <c r="I68" s="22"/>
    </row>
    <row r="69" customFormat="false" ht="15" hidden="false" customHeight="false" outlineLevel="0" collapsed="false">
      <c r="A69" s="22" t="s">
        <v>116</v>
      </c>
      <c r="B69" s="22" t="s">
        <v>44</v>
      </c>
      <c r="C69" s="22" t="s">
        <v>130</v>
      </c>
      <c r="D69" s="22" t="s">
        <v>76</v>
      </c>
      <c r="E69" s="22" t="s">
        <v>187</v>
      </c>
      <c r="F69" s="21" t="n">
        <v>20</v>
      </c>
      <c r="G69" s="22" t="n">
        <v>0</v>
      </c>
      <c r="H69" s="22"/>
      <c r="I69" s="22"/>
    </row>
    <row r="70" customFormat="false" ht="15" hidden="false" customHeight="false" outlineLevel="0" collapsed="false">
      <c r="A70" s="22" t="s">
        <v>116</v>
      </c>
      <c r="B70" s="22" t="s">
        <v>44</v>
      </c>
      <c r="C70" s="22" t="s">
        <v>130</v>
      </c>
      <c r="D70" s="22" t="s">
        <v>76</v>
      </c>
      <c r="E70" s="22" t="s">
        <v>188</v>
      </c>
      <c r="F70" s="21" t="n">
        <v>150</v>
      </c>
      <c r="G70" s="22" t="n">
        <v>0</v>
      </c>
      <c r="H70" s="22"/>
      <c r="I70" s="22"/>
    </row>
    <row r="71" customFormat="false" ht="15" hidden="false" customHeight="false" outlineLevel="0" collapsed="false">
      <c r="A71" s="22" t="s">
        <v>116</v>
      </c>
      <c r="B71" s="22" t="s">
        <v>44</v>
      </c>
      <c r="C71" s="22" t="s">
        <v>130</v>
      </c>
      <c r="D71" s="22" t="s">
        <v>76</v>
      </c>
      <c r="E71" s="22" t="s">
        <v>189</v>
      </c>
      <c r="F71" s="21" t="n">
        <v>150</v>
      </c>
      <c r="G71" s="22" t="n">
        <v>0</v>
      </c>
      <c r="H71" s="22"/>
      <c r="I71" s="22"/>
    </row>
    <row r="72" customFormat="false" ht="15" hidden="false" customHeight="false" outlineLevel="0" collapsed="false">
      <c r="A72" s="22" t="s">
        <v>116</v>
      </c>
      <c r="B72" s="22" t="s">
        <v>44</v>
      </c>
      <c r="C72" s="22" t="s">
        <v>130</v>
      </c>
      <c r="D72" s="22" t="s">
        <v>76</v>
      </c>
      <c r="E72" s="22" t="s">
        <v>190</v>
      </c>
      <c r="F72" s="21" t="n">
        <v>20</v>
      </c>
      <c r="G72" s="22" t="n">
        <v>0</v>
      </c>
      <c r="H72" s="22"/>
      <c r="I72" s="22"/>
    </row>
    <row r="73" customFormat="false" ht="15" hidden="false" customHeight="false" outlineLevel="0" collapsed="false">
      <c r="A73" s="22" t="s">
        <v>116</v>
      </c>
      <c r="B73" s="22" t="s">
        <v>44</v>
      </c>
      <c r="C73" s="22" t="s">
        <v>130</v>
      </c>
      <c r="D73" s="22" t="s">
        <v>76</v>
      </c>
      <c r="E73" s="22" t="s">
        <v>191</v>
      </c>
      <c r="F73" s="21" t="n">
        <v>80</v>
      </c>
      <c r="G73" s="22" t="n">
        <v>0</v>
      </c>
      <c r="H73" s="22"/>
      <c r="I73" s="22"/>
    </row>
    <row r="74" customFormat="false" ht="15" hidden="false" customHeight="false" outlineLevel="0" collapsed="false">
      <c r="A74" s="22" t="s">
        <v>116</v>
      </c>
      <c r="B74" s="22" t="s">
        <v>45</v>
      </c>
      <c r="C74" s="22" t="s">
        <v>125</v>
      </c>
      <c r="D74" s="22" t="s">
        <v>83</v>
      </c>
      <c r="E74" s="22" t="s">
        <v>192</v>
      </c>
      <c r="F74" s="21" t="n">
        <v>450</v>
      </c>
      <c r="G74" s="22" t="n">
        <v>0</v>
      </c>
      <c r="H74" s="22"/>
      <c r="I74" s="22"/>
    </row>
    <row r="75" customFormat="false" ht="15" hidden="false" customHeight="false" outlineLevel="0" collapsed="false">
      <c r="A75" s="22" t="s">
        <v>116</v>
      </c>
      <c r="B75" s="22" t="s">
        <v>45</v>
      </c>
      <c r="C75" s="22" t="s">
        <v>130</v>
      </c>
      <c r="D75" s="22" t="s">
        <v>77</v>
      </c>
      <c r="E75" s="22" t="s">
        <v>193</v>
      </c>
      <c r="F75" s="22" t="n">
        <v>0</v>
      </c>
      <c r="G75" s="21" t="n">
        <v>3435</v>
      </c>
      <c r="H75" s="22"/>
      <c r="I75" s="22"/>
    </row>
    <row r="76" customFormat="false" ht="15" hidden="false" customHeight="false" outlineLevel="0" collapsed="false">
      <c r="A76" s="22" t="s">
        <v>116</v>
      </c>
      <c r="B76" s="22" t="s">
        <v>45</v>
      </c>
      <c r="C76" s="22" t="s">
        <v>130</v>
      </c>
      <c r="D76" s="22" t="s">
        <v>76</v>
      </c>
      <c r="E76" s="22" t="s">
        <v>194</v>
      </c>
      <c r="F76" s="21" t="n">
        <v>200</v>
      </c>
      <c r="G76" s="22" t="n">
        <v>0</v>
      </c>
      <c r="H76" s="22"/>
      <c r="I76" s="22"/>
    </row>
    <row r="77" customFormat="false" ht="15" hidden="false" customHeight="false" outlineLevel="0" collapsed="false">
      <c r="A77" s="22" t="s">
        <v>116</v>
      </c>
      <c r="B77" s="22" t="s">
        <v>45</v>
      </c>
      <c r="C77" s="22" t="s">
        <v>130</v>
      </c>
      <c r="D77" s="22" t="s">
        <v>76</v>
      </c>
      <c r="E77" s="22" t="s">
        <v>195</v>
      </c>
      <c r="F77" s="21" t="n">
        <v>559</v>
      </c>
      <c r="G77" s="22" t="n">
        <v>0</v>
      </c>
      <c r="H77" s="22"/>
      <c r="I77" s="22"/>
    </row>
    <row r="78" customFormat="false" ht="15" hidden="false" customHeight="false" outlineLevel="0" collapsed="false">
      <c r="A78" s="22" t="s">
        <v>116</v>
      </c>
      <c r="B78" s="22" t="s">
        <v>46</v>
      </c>
      <c r="C78" s="22" t="s">
        <v>125</v>
      </c>
      <c r="D78" s="22" t="s">
        <v>76</v>
      </c>
      <c r="E78" s="22" t="s">
        <v>196</v>
      </c>
      <c r="F78" s="22" t="n">
        <v>0</v>
      </c>
      <c r="G78" s="21" t="n">
        <v>3700</v>
      </c>
      <c r="H78" s="22"/>
      <c r="I78" s="22"/>
    </row>
    <row r="79" customFormat="false" ht="15" hidden="false" customHeight="false" outlineLevel="0" collapsed="false">
      <c r="A79" s="22" t="s">
        <v>116</v>
      </c>
      <c r="B79" s="22" t="s">
        <v>46</v>
      </c>
      <c r="C79" s="22" t="s">
        <v>125</v>
      </c>
      <c r="D79" s="22" t="s">
        <v>76</v>
      </c>
      <c r="E79" s="22" t="s">
        <v>197</v>
      </c>
      <c r="F79" s="22" t="n">
        <v>0</v>
      </c>
      <c r="G79" s="21" t="n">
        <v>584</v>
      </c>
      <c r="H79" s="22"/>
      <c r="I79" s="22"/>
    </row>
    <row r="80" customFormat="false" ht="15" hidden="false" customHeight="false" outlineLevel="0" collapsed="false">
      <c r="A80" s="22" t="s">
        <v>116</v>
      </c>
      <c r="B80" s="22" t="s">
        <v>46</v>
      </c>
      <c r="C80" s="22" t="s">
        <v>130</v>
      </c>
      <c r="D80" s="22" t="s">
        <v>77</v>
      </c>
      <c r="E80" s="22" t="s">
        <v>198</v>
      </c>
      <c r="F80" s="22" t="n">
        <v>0</v>
      </c>
      <c r="G80" s="21" t="n">
        <v>3745</v>
      </c>
      <c r="H80" s="22"/>
      <c r="I80" s="22"/>
    </row>
    <row r="81" customFormat="false" ht="15" hidden="false" customHeight="false" outlineLevel="0" collapsed="false">
      <c r="A81" s="22" t="s">
        <v>116</v>
      </c>
      <c r="B81" s="22" t="s">
        <v>46</v>
      </c>
      <c r="C81" s="22" t="s">
        <v>130</v>
      </c>
      <c r="D81" s="22" t="s">
        <v>76</v>
      </c>
      <c r="E81" s="22" t="s">
        <v>199</v>
      </c>
      <c r="F81" s="21" t="n">
        <v>500</v>
      </c>
      <c r="G81" s="22" t="n">
        <v>0</v>
      </c>
      <c r="H81" s="22"/>
      <c r="I81" s="22"/>
    </row>
    <row r="82" customFormat="false" ht="15" hidden="false" customHeight="false" outlineLevel="0" collapsed="false">
      <c r="A82" s="22" t="s">
        <v>116</v>
      </c>
      <c r="B82" s="22" t="s">
        <v>46</v>
      </c>
      <c r="C82" s="22" t="s">
        <v>130</v>
      </c>
      <c r="D82" s="22" t="s">
        <v>76</v>
      </c>
      <c r="E82" s="22" t="s">
        <v>200</v>
      </c>
      <c r="F82" s="21" t="n">
        <v>8594</v>
      </c>
      <c r="G82" s="22" t="n">
        <v>0</v>
      </c>
      <c r="H82" s="22"/>
      <c r="I82" s="22"/>
    </row>
    <row r="83" customFormat="false" ht="15" hidden="false" customHeight="false" outlineLevel="0" collapsed="false">
      <c r="A83" s="22" t="s">
        <v>116</v>
      </c>
      <c r="B83" s="22" t="s">
        <v>46</v>
      </c>
      <c r="C83" s="22" t="s">
        <v>130</v>
      </c>
      <c r="D83" s="22" t="s">
        <v>76</v>
      </c>
      <c r="E83" s="22" t="s">
        <v>201</v>
      </c>
      <c r="F83" s="21" t="n">
        <v>140</v>
      </c>
      <c r="G83" s="22" t="n">
        <v>0</v>
      </c>
      <c r="H83" s="22"/>
      <c r="I83" s="22"/>
    </row>
    <row r="84" customFormat="false" ht="15" hidden="false" customHeight="false" outlineLevel="0" collapsed="false">
      <c r="A84" s="22" t="s">
        <v>116</v>
      </c>
      <c r="B84" s="22" t="s">
        <v>46</v>
      </c>
      <c r="C84" s="22" t="s">
        <v>130</v>
      </c>
      <c r="D84" s="22" t="s">
        <v>76</v>
      </c>
      <c r="E84" s="22" t="s">
        <v>202</v>
      </c>
      <c r="F84" s="21" t="n">
        <v>40</v>
      </c>
      <c r="G84" s="22" t="n">
        <v>0</v>
      </c>
      <c r="H84" s="22"/>
      <c r="I84" s="22"/>
    </row>
    <row r="85" customFormat="false" ht="15" hidden="false" customHeight="false" outlineLevel="0" collapsed="false">
      <c r="A85" s="22" t="s">
        <v>116</v>
      </c>
      <c r="B85" s="22" t="s">
        <v>46</v>
      </c>
      <c r="C85" s="22" t="s">
        <v>130</v>
      </c>
      <c r="D85" s="22" t="s">
        <v>76</v>
      </c>
      <c r="E85" s="22" t="s">
        <v>203</v>
      </c>
      <c r="F85" s="21" t="n">
        <v>300</v>
      </c>
      <c r="G85" s="22" t="n">
        <v>0</v>
      </c>
      <c r="H85" s="22"/>
      <c r="I85" s="22"/>
    </row>
    <row r="86" customFormat="false" ht="15" hidden="false" customHeight="false" outlineLevel="0" collapsed="false">
      <c r="A86" s="22" t="s">
        <v>116</v>
      </c>
      <c r="B86" s="22" t="s">
        <v>46</v>
      </c>
      <c r="C86" s="22" t="s">
        <v>130</v>
      </c>
      <c r="D86" s="22" t="s">
        <v>76</v>
      </c>
      <c r="E86" s="22" t="s">
        <v>204</v>
      </c>
      <c r="F86" s="21" t="n">
        <v>100</v>
      </c>
      <c r="G86" s="22" t="n">
        <v>0</v>
      </c>
      <c r="H86" s="22"/>
      <c r="I86" s="22"/>
    </row>
    <row r="87" customFormat="false" ht="15" hidden="false" customHeight="false" outlineLevel="0" collapsed="false">
      <c r="A87" s="22" t="s">
        <v>116</v>
      </c>
      <c r="B87" s="22" t="s">
        <v>46</v>
      </c>
      <c r="C87" s="22" t="s">
        <v>130</v>
      </c>
      <c r="D87" s="22" t="s">
        <v>76</v>
      </c>
      <c r="E87" s="22" t="s">
        <v>205</v>
      </c>
      <c r="F87" s="21" t="n">
        <v>100</v>
      </c>
      <c r="G87" s="22" t="n">
        <v>0</v>
      </c>
      <c r="H87" s="22"/>
      <c r="I87" s="22"/>
    </row>
    <row r="88" customFormat="false" ht="15" hidden="false" customHeight="false" outlineLevel="0" collapsed="false">
      <c r="A88" s="22" t="s">
        <v>116</v>
      </c>
      <c r="B88" s="22" t="s">
        <v>46</v>
      </c>
      <c r="C88" s="22" t="s">
        <v>130</v>
      </c>
      <c r="D88" s="22" t="s">
        <v>76</v>
      </c>
      <c r="E88" s="22" t="s">
        <v>206</v>
      </c>
      <c r="F88" s="21" t="n">
        <v>20</v>
      </c>
      <c r="G88" s="22" t="n">
        <v>0</v>
      </c>
      <c r="H88" s="22"/>
      <c r="I88" s="22"/>
    </row>
    <row r="89" customFormat="false" ht="15" hidden="false" customHeight="false" outlineLevel="0" collapsed="false">
      <c r="A89" s="22" t="s">
        <v>116</v>
      </c>
      <c r="B89" s="22" t="s">
        <v>47</v>
      </c>
      <c r="C89" s="22" t="s">
        <v>130</v>
      </c>
      <c r="D89" s="22" t="s">
        <v>77</v>
      </c>
      <c r="E89" s="22" t="s">
        <v>207</v>
      </c>
      <c r="F89" s="22" t="n">
        <v>0</v>
      </c>
      <c r="G89" s="21" t="n">
        <v>5290</v>
      </c>
      <c r="H89" s="22"/>
      <c r="I89" s="22"/>
    </row>
    <row r="90" customFormat="false" ht="15" hidden="false" customHeight="false" outlineLevel="0" collapsed="false">
      <c r="A90" s="22" t="s">
        <v>116</v>
      </c>
      <c r="B90" s="22" t="s">
        <v>47</v>
      </c>
      <c r="C90" s="22" t="s">
        <v>130</v>
      </c>
      <c r="D90" s="22" t="s">
        <v>76</v>
      </c>
      <c r="E90" s="22" t="s">
        <v>208</v>
      </c>
      <c r="F90" s="21" t="n">
        <v>10</v>
      </c>
      <c r="G90" s="22" t="n">
        <v>0</v>
      </c>
      <c r="H90" s="22"/>
      <c r="I90" s="22"/>
    </row>
    <row r="91" customFormat="false" ht="15" hidden="false" customHeight="false" outlineLevel="0" collapsed="false">
      <c r="A91" s="22" t="s">
        <v>116</v>
      </c>
      <c r="B91" s="22" t="s">
        <v>47</v>
      </c>
      <c r="C91" s="22" t="s">
        <v>130</v>
      </c>
      <c r="D91" s="22" t="s">
        <v>76</v>
      </c>
      <c r="E91" s="22" t="s">
        <v>209</v>
      </c>
      <c r="F91" s="21" t="n">
        <v>50</v>
      </c>
      <c r="G91" s="22" t="n">
        <v>0</v>
      </c>
      <c r="H91" s="22"/>
      <c r="I91" s="22"/>
    </row>
    <row r="92" customFormat="false" ht="15" hidden="false" customHeight="false" outlineLevel="0" collapsed="false">
      <c r="A92" s="22" t="s">
        <v>116</v>
      </c>
      <c r="B92" s="22" t="s">
        <v>47</v>
      </c>
      <c r="C92" s="22" t="s">
        <v>130</v>
      </c>
      <c r="D92" s="22" t="s">
        <v>76</v>
      </c>
      <c r="E92" s="22" t="s">
        <v>210</v>
      </c>
      <c r="F92" s="21" t="n">
        <v>30</v>
      </c>
      <c r="G92" s="22" t="n">
        <v>0</v>
      </c>
      <c r="H92" s="22"/>
      <c r="I92" s="22"/>
    </row>
    <row r="93" customFormat="false" ht="15" hidden="false" customHeight="false" outlineLevel="0" collapsed="false">
      <c r="A93" s="22" t="s">
        <v>116</v>
      </c>
      <c r="B93" s="22" t="s">
        <v>47</v>
      </c>
      <c r="C93" s="22" t="s">
        <v>130</v>
      </c>
      <c r="D93" s="22" t="s">
        <v>76</v>
      </c>
      <c r="E93" s="22" t="s">
        <v>211</v>
      </c>
      <c r="F93" s="21" t="n">
        <v>30</v>
      </c>
      <c r="G93" s="22" t="n">
        <v>0</v>
      </c>
      <c r="H93" s="22"/>
      <c r="I93" s="22"/>
    </row>
    <row r="94" customFormat="false" ht="15" hidden="false" customHeight="false" outlineLevel="0" collapsed="false">
      <c r="A94" s="22" t="s">
        <v>116</v>
      </c>
      <c r="B94" s="22" t="s">
        <v>47</v>
      </c>
      <c r="C94" s="22" t="s">
        <v>130</v>
      </c>
      <c r="D94" s="22" t="s">
        <v>76</v>
      </c>
      <c r="E94" s="22" t="s">
        <v>212</v>
      </c>
      <c r="F94" s="21" t="n">
        <v>30</v>
      </c>
      <c r="G94" s="22" t="n">
        <v>0</v>
      </c>
      <c r="H94" s="22"/>
      <c r="I94" s="22"/>
    </row>
    <row r="95" customFormat="false" ht="15" hidden="false" customHeight="false" outlineLevel="0" collapsed="false">
      <c r="A95" s="22" t="s">
        <v>116</v>
      </c>
      <c r="B95" s="22" t="s">
        <v>47</v>
      </c>
      <c r="C95" s="22" t="s">
        <v>130</v>
      </c>
      <c r="D95" s="22" t="s">
        <v>76</v>
      </c>
      <c r="E95" s="22" t="s">
        <v>213</v>
      </c>
      <c r="F95" s="21" t="n">
        <v>375</v>
      </c>
      <c r="G95" s="22" t="n">
        <v>0</v>
      </c>
      <c r="H95" s="22"/>
      <c r="I95" s="22"/>
    </row>
    <row r="96" customFormat="false" ht="15" hidden="false" customHeight="false" outlineLevel="0" collapsed="false">
      <c r="A96" s="22" t="s">
        <v>116</v>
      </c>
      <c r="B96" s="22" t="s">
        <v>47</v>
      </c>
      <c r="C96" s="22" t="s">
        <v>130</v>
      </c>
      <c r="D96" s="22" t="s">
        <v>76</v>
      </c>
      <c r="E96" s="22" t="s">
        <v>214</v>
      </c>
      <c r="F96" s="21" t="n">
        <v>120</v>
      </c>
      <c r="G96" s="22" t="n">
        <v>0</v>
      </c>
      <c r="H96" s="22"/>
      <c r="I96" s="22"/>
    </row>
    <row r="97" customFormat="false" ht="15" hidden="false" customHeight="false" outlineLevel="0" collapsed="false">
      <c r="A97" s="22" t="s">
        <v>116</v>
      </c>
      <c r="B97" s="22" t="s">
        <v>48</v>
      </c>
      <c r="C97" s="22" t="s">
        <v>125</v>
      </c>
      <c r="D97" s="22" t="s">
        <v>76</v>
      </c>
      <c r="E97" s="22" t="s">
        <v>215</v>
      </c>
      <c r="F97" s="22" t="n">
        <v>0</v>
      </c>
      <c r="G97" s="21" t="n">
        <v>1500</v>
      </c>
      <c r="H97" s="22"/>
      <c r="I97" s="22"/>
    </row>
    <row r="98" customFormat="false" ht="15" hidden="false" customHeight="false" outlineLevel="0" collapsed="false">
      <c r="A98" s="22" t="s">
        <v>116</v>
      </c>
      <c r="B98" s="22" t="s">
        <v>48</v>
      </c>
      <c r="C98" s="22" t="s">
        <v>130</v>
      </c>
      <c r="D98" s="22" t="s">
        <v>77</v>
      </c>
      <c r="E98" s="22" t="s">
        <v>216</v>
      </c>
      <c r="F98" s="22" t="n">
        <v>0</v>
      </c>
      <c r="G98" s="21" t="n">
        <v>1310</v>
      </c>
      <c r="H98" s="22"/>
      <c r="I98" s="22"/>
    </row>
    <row r="99" customFormat="false" ht="15" hidden="false" customHeight="false" outlineLevel="0" collapsed="false">
      <c r="A99" s="22" t="s">
        <v>116</v>
      </c>
      <c r="B99" s="22" t="s">
        <v>48</v>
      </c>
      <c r="C99" s="22" t="s">
        <v>130</v>
      </c>
      <c r="D99" s="22" t="s">
        <v>76</v>
      </c>
      <c r="E99" s="22" t="s">
        <v>217</v>
      </c>
      <c r="F99" s="21" t="n">
        <v>30</v>
      </c>
      <c r="G99" s="22" t="n">
        <v>0</v>
      </c>
      <c r="H99" s="22"/>
      <c r="I99" s="22"/>
    </row>
    <row r="100" customFormat="false" ht="15" hidden="false" customHeight="false" outlineLevel="0" collapsed="false">
      <c r="A100" s="22" t="s">
        <v>116</v>
      </c>
      <c r="B100" s="22" t="s">
        <v>48</v>
      </c>
      <c r="C100" s="22" t="s">
        <v>130</v>
      </c>
      <c r="D100" s="22" t="s">
        <v>76</v>
      </c>
      <c r="E100" s="22" t="s">
        <v>218</v>
      </c>
      <c r="F100" s="21" t="n">
        <v>65</v>
      </c>
      <c r="G100" s="22" t="n">
        <v>0</v>
      </c>
      <c r="H100" s="22"/>
      <c r="I100" s="22"/>
    </row>
    <row r="101" customFormat="false" ht="15" hidden="false" customHeight="false" outlineLevel="0" collapsed="false">
      <c r="A101" s="22" t="s">
        <v>116</v>
      </c>
      <c r="B101" s="22" t="s">
        <v>48</v>
      </c>
      <c r="C101" s="22" t="s">
        <v>130</v>
      </c>
      <c r="D101" s="22" t="s">
        <v>76</v>
      </c>
      <c r="E101" s="22" t="s">
        <v>219</v>
      </c>
      <c r="F101" s="21" t="n">
        <v>410</v>
      </c>
      <c r="G101" s="22" t="n">
        <v>0</v>
      </c>
      <c r="H101" s="22"/>
      <c r="I101" s="22"/>
    </row>
    <row r="102" customFormat="false" ht="15" hidden="false" customHeight="false" outlineLevel="0" collapsed="false">
      <c r="A102" s="22" t="s">
        <v>116</v>
      </c>
      <c r="B102" s="22" t="s">
        <v>48</v>
      </c>
      <c r="C102" s="22" t="s">
        <v>130</v>
      </c>
      <c r="D102" s="22" t="s">
        <v>76</v>
      </c>
      <c r="E102" s="22" t="s">
        <v>220</v>
      </c>
      <c r="F102" s="21" t="n">
        <v>30</v>
      </c>
      <c r="G102" s="22" t="n">
        <v>0</v>
      </c>
      <c r="H102" s="22"/>
      <c r="I102" s="22"/>
    </row>
    <row r="103" customFormat="false" ht="15" hidden="false" customHeight="false" outlineLevel="0" collapsed="false">
      <c r="A103" s="22" t="s">
        <v>116</v>
      </c>
      <c r="B103" s="22" t="s">
        <v>49</v>
      </c>
      <c r="C103" s="22" t="s">
        <v>125</v>
      </c>
      <c r="D103" s="22" t="s">
        <v>76</v>
      </c>
      <c r="E103" s="22" t="s">
        <v>221</v>
      </c>
      <c r="F103" s="22" t="n">
        <v>0</v>
      </c>
      <c r="G103" s="21" t="n">
        <v>300</v>
      </c>
      <c r="H103" s="22"/>
      <c r="I103" s="22"/>
    </row>
    <row r="104" customFormat="false" ht="15" hidden="false" customHeight="false" outlineLevel="0" collapsed="false">
      <c r="A104" s="22" t="s">
        <v>116</v>
      </c>
      <c r="B104" s="22" t="s">
        <v>49</v>
      </c>
      <c r="C104" s="22" t="s">
        <v>125</v>
      </c>
      <c r="D104" s="22" t="s">
        <v>76</v>
      </c>
      <c r="E104" s="22" t="s">
        <v>222</v>
      </c>
      <c r="F104" s="22" t="n">
        <v>0</v>
      </c>
      <c r="G104" s="21" t="n">
        <v>50</v>
      </c>
      <c r="H104" s="22"/>
      <c r="I104" s="22"/>
    </row>
    <row r="105" customFormat="false" ht="15" hidden="false" customHeight="false" outlineLevel="0" collapsed="false">
      <c r="A105" s="22" t="s">
        <v>116</v>
      </c>
      <c r="B105" s="22" t="s">
        <v>49</v>
      </c>
      <c r="C105" s="22" t="s">
        <v>125</v>
      </c>
      <c r="D105" s="22" t="s">
        <v>76</v>
      </c>
      <c r="E105" s="22" t="s">
        <v>223</v>
      </c>
      <c r="F105" s="22" t="n">
        <v>0</v>
      </c>
      <c r="G105" s="21" t="n">
        <v>800</v>
      </c>
      <c r="H105" s="22"/>
      <c r="I105" s="22"/>
    </row>
    <row r="106" customFormat="false" ht="15" hidden="false" customHeight="false" outlineLevel="0" collapsed="false">
      <c r="A106" s="22" t="s">
        <v>116</v>
      </c>
      <c r="B106" s="22" t="s">
        <v>49</v>
      </c>
      <c r="C106" s="22" t="s">
        <v>130</v>
      </c>
      <c r="D106" s="22" t="s">
        <v>77</v>
      </c>
      <c r="E106" s="22" t="s">
        <v>224</v>
      </c>
      <c r="F106" s="22" t="n">
        <v>0</v>
      </c>
      <c r="G106" s="21" t="n">
        <v>9830</v>
      </c>
      <c r="H106" s="22"/>
      <c r="I106" s="22"/>
    </row>
    <row r="107" customFormat="false" ht="15" hidden="false" customHeight="false" outlineLevel="0" collapsed="false">
      <c r="A107" s="22" t="s">
        <v>116</v>
      </c>
      <c r="B107" s="22" t="s">
        <v>49</v>
      </c>
      <c r="C107" s="22" t="s">
        <v>130</v>
      </c>
      <c r="D107" s="22" t="s">
        <v>76</v>
      </c>
      <c r="E107" s="22" t="s">
        <v>225</v>
      </c>
      <c r="F107" s="21" t="n">
        <v>60</v>
      </c>
      <c r="G107" s="22" t="n">
        <v>0</v>
      </c>
      <c r="H107" s="22"/>
      <c r="I107" s="22"/>
    </row>
    <row r="108" customFormat="false" ht="15" hidden="false" customHeight="false" outlineLevel="0" collapsed="false">
      <c r="A108" s="22" t="s">
        <v>116</v>
      </c>
      <c r="B108" s="22" t="s">
        <v>49</v>
      </c>
      <c r="C108" s="22" t="s">
        <v>130</v>
      </c>
      <c r="D108" s="22" t="s">
        <v>76</v>
      </c>
      <c r="E108" s="22" t="s">
        <v>226</v>
      </c>
      <c r="F108" s="21" t="n">
        <v>300</v>
      </c>
      <c r="G108" s="22" t="n">
        <v>0</v>
      </c>
      <c r="H108" s="22"/>
      <c r="I108" s="22"/>
    </row>
    <row r="109" customFormat="false" ht="15" hidden="false" customHeight="false" outlineLevel="0" collapsed="false">
      <c r="A109" s="22" t="s">
        <v>116</v>
      </c>
      <c r="B109" s="22" t="s">
        <v>49</v>
      </c>
      <c r="C109" s="22" t="s">
        <v>130</v>
      </c>
      <c r="D109" s="22" t="s">
        <v>76</v>
      </c>
      <c r="E109" s="22" t="s">
        <v>227</v>
      </c>
      <c r="F109" s="21" t="n">
        <v>650</v>
      </c>
      <c r="G109" s="22" t="n">
        <v>0</v>
      </c>
      <c r="H109" s="22"/>
      <c r="I109" s="22"/>
    </row>
    <row r="110" customFormat="false" ht="15" hidden="false" customHeight="false" outlineLevel="0" collapsed="false">
      <c r="A110" s="22" t="s">
        <v>116</v>
      </c>
      <c r="B110" s="22" t="s">
        <v>49</v>
      </c>
      <c r="C110" s="22" t="s">
        <v>130</v>
      </c>
      <c r="D110" s="22" t="s">
        <v>76</v>
      </c>
      <c r="E110" s="22" t="s">
        <v>228</v>
      </c>
      <c r="F110" s="21" t="n">
        <v>40</v>
      </c>
      <c r="G110" s="22" t="n">
        <v>0</v>
      </c>
      <c r="H110" s="22"/>
      <c r="I110" s="22"/>
    </row>
    <row r="111" customFormat="false" ht="15" hidden="false" customHeight="false" outlineLevel="0" collapsed="false">
      <c r="A111" s="22" t="s">
        <v>116</v>
      </c>
      <c r="B111" s="22" t="s">
        <v>49</v>
      </c>
      <c r="C111" s="22" t="s">
        <v>130</v>
      </c>
      <c r="D111" s="22" t="s">
        <v>76</v>
      </c>
      <c r="E111" s="22" t="s">
        <v>229</v>
      </c>
      <c r="F111" s="21" t="n">
        <v>30</v>
      </c>
      <c r="G111" s="22" t="n">
        <v>0</v>
      </c>
      <c r="H111" s="22"/>
      <c r="I111" s="22"/>
    </row>
    <row r="112" customFormat="false" ht="15" hidden="false" customHeight="false" outlineLevel="0" collapsed="false">
      <c r="A112" s="22" t="s">
        <v>116</v>
      </c>
      <c r="B112" s="22" t="s">
        <v>50</v>
      </c>
      <c r="C112" s="22" t="s">
        <v>130</v>
      </c>
      <c r="D112" s="22" t="s">
        <v>77</v>
      </c>
      <c r="E112" s="22" t="s">
        <v>230</v>
      </c>
      <c r="F112" s="22" t="n">
        <v>0</v>
      </c>
      <c r="G112" s="21" t="n">
        <v>635</v>
      </c>
      <c r="H112" s="22"/>
      <c r="I112" s="22"/>
    </row>
    <row r="113" customFormat="false" ht="15" hidden="false" customHeight="false" outlineLevel="0" collapsed="false">
      <c r="A113" s="22" t="s">
        <v>116</v>
      </c>
      <c r="B113" s="22" t="s">
        <v>50</v>
      </c>
      <c r="C113" s="22" t="s">
        <v>130</v>
      </c>
      <c r="D113" s="22" t="s">
        <v>76</v>
      </c>
      <c r="E113" s="22" t="s">
        <v>231</v>
      </c>
      <c r="F113" s="21" t="n">
        <v>11900</v>
      </c>
      <c r="G113" s="22" t="n">
        <v>0</v>
      </c>
      <c r="H113" s="22"/>
      <c r="I113" s="24" t="s">
        <v>127</v>
      </c>
    </row>
    <row r="114" customFormat="false" ht="15" hidden="false" customHeight="false" outlineLevel="0" collapsed="false">
      <c r="A114" s="22" t="s">
        <v>116</v>
      </c>
      <c r="B114" s="22" t="s">
        <v>50</v>
      </c>
      <c r="C114" s="22" t="s">
        <v>130</v>
      </c>
      <c r="D114" s="22" t="s">
        <v>76</v>
      </c>
      <c r="E114" s="22" t="s">
        <v>232</v>
      </c>
      <c r="F114" s="21" t="n">
        <v>140</v>
      </c>
      <c r="G114" s="22" t="n">
        <v>0</v>
      </c>
      <c r="H114" s="22"/>
      <c r="I114" s="22"/>
    </row>
    <row r="115" customFormat="false" ht="15" hidden="false" customHeight="false" outlineLevel="0" collapsed="false">
      <c r="A115" s="22" t="s">
        <v>116</v>
      </c>
      <c r="B115" s="22" t="s">
        <v>51</v>
      </c>
      <c r="C115" s="22" t="s">
        <v>125</v>
      </c>
      <c r="D115" s="22" t="s">
        <v>76</v>
      </c>
      <c r="E115" s="22" t="s">
        <v>233</v>
      </c>
      <c r="F115" s="22" t="n">
        <v>0</v>
      </c>
      <c r="G115" s="21" t="n">
        <v>1537</v>
      </c>
      <c r="H115" s="22"/>
      <c r="I115" s="22"/>
    </row>
    <row r="116" customFormat="false" ht="15" hidden="false" customHeight="false" outlineLevel="0" collapsed="false">
      <c r="A116" s="22" t="s">
        <v>116</v>
      </c>
      <c r="B116" s="22" t="s">
        <v>51</v>
      </c>
      <c r="C116" s="22" t="s">
        <v>130</v>
      </c>
      <c r="D116" s="22" t="s">
        <v>77</v>
      </c>
      <c r="E116" s="22" t="s">
        <v>234</v>
      </c>
      <c r="F116" s="22" t="n">
        <v>0</v>
      </c>
      <c r="G116" s="21" t="n">
        <v>15360</v>
      </c>
      <c r="H116" s="22"/>
      <c r="I116" s="22"/>
    </row>
    <row r="117" customFormat="false" ht="15" hidden="false" customHeight="false" outlineLevel="0" collapsed="false">
      <c r="A117" s="22" t="s">
        <v>116</v>
      </c>
      <c r="B117" s="22" t="s">
        <v>51</v>
      </c>
      <c r="C117" s="22" t="s">
        <v>130</v>
      </c>
      <c r="D117" s="22" t="s">
        <v>76</v>
      </c>
      <c r="E117" s="22" t="s">
        <v>235</v>
      </c>
      <c r="F117" s="21" t="n">
        <v>500</v>
      </c>
      <c r="G117" s="22" t="n">
        <v>0</v>
      </c>
      <c r="H117" s="22"/>
      <c r="I117" s="22"/>
    </row>
    <row r="118" customFormat="false" ht="15" hidden="false" customHeight="false" outlineLevel="0" collapsed="false">
      <c r="A118" s="22" t="s">
        <v>116</v>
      </c>
      <c r="B118" s="22" t="s">
        <v>51</v>
      </c>
      <c r="C118" s="22" t="s">
        <v>130</v>
      </c>
      <c r="D118" s="22" t="s">
        <v>76</v>
      </c>
      <c r="E118" s="22" t="s">
        <v>236</v>
      </c>
      <c r="F118" s="21" t="n">
        <v>60</v>
      </c>
      <c r="G118" s="22" t="n">
        <v>0</v>
      </c>
      <c r="H118" s="22"/>
      <c r="I118" s="22"/>
    </row>
    <row r="119" customFormat="false" ht="15" hidden="false" customHeight="false" outlineLevel="0" collapsed="false">
      <c r="A119" s="22" t="s">
        <v>116</v>
      </c>
      <c r="B119" s="22" t="s">
        <v>51</v>
      </c>
      <c r="C119" s="22" t="s">
        <v>130</v>
      </c>
      <c r="D119" s="22" t="s">
        <v>76</v>
      </c>
      <c r="E119" s="22" t="s">
        <v>237</v>
      </c>
      <c r="F119" s="21" t="n">
        <v>20</v>
      </c>
      <c r="G119" s="22" t="n">
        <v>0</v>
      </c>
      <c r="H119" s="22"/>
      <c r="I119" s="22"/>
    </row>
    <row r="120" customFormat="false" ht="15" hidden="false" customHeight="false" outlineLevel="0" collapsed="false">
      <c r="A120" s="22" t="s">
        <v>116</v>
      </c>
      <c r="B120" s="22" t="s">
        <v>51</v>
      </c>
      <c r="C120" s="22" t="s">
        <v>130</v>
      </c>
      <c r="D120" s="22" t="s">
        <v>76</v>
      </c>
      <c r="E120" s="22" t="s">
        <v>238</v>
      </c>
      <c r="F120" s="21" t="n">
        <v>20</v>
      </c>
      <c r="G120" s="22" t="n">
        <v>0</v>
      </c>
      <c r="H120" s="22"/>
      <c r="I120" s="22"/>
    </row>
    <row r="121" customFormat="false" ht="15" hidden="false" customHeight="false" outlineLevel="0" collapsed="false">
      <c r="A121" s="22" t="s">
        <v>116</v>
      </c>
      <c r="B121" s="22" t="s">
        <v>51</v>
      </c>
      <c r="C121" s="22" t="s">
        <v>130</v>
      </c>
      <c r="D121" s="22" t="s">
        <v>76</v>
      </c>
      <c r="E121" s="22" t="s">
        <v>239</v>
      </c>
      <c r="F121" s="21" t="n">
        <v>8700</v>
      </c>
      <c r="G121" s="22" t="n">
        <v>0</v>
      </c>
      <c r="H121" s="22"/>
      <c r="I121" s="22"/>
    </row>
    <row r="122" customFormat="false" ht="15" hidden="false" customHeight="false" outlineLevel="0" collapsed="false">
      <c r="A122" s="22" t="s">
        <v>116</v>
      </c>
      <c r="B122" s="22" t="s">
        <v>51</v>
      </c>
      <c r="C122" s="22" t="s">
        <v>130</v>
      </c>
      <c r="D122" s="22" t="s">
        <v>76</v>
      </c>
      <c r="E122" s="22" t="s">
        <v>240</v>
      </c>
      <c r="F122" s="21" t="n">
        <v>750</v>
      </c>
      <c r="G122" s="22" t="n">
        <v>0</v>
      </c>
      <c r="H122" s="22"/>
      <c r="I122" s="22"/>
    </row>
    <row r="123" customFormat="false" ht="15" hidden="false" customHeight="false" outlineLevel="0" collapsed="false">
      <c r="A123" s="22" t="s">
        <v>117</v>
      </c>
      <c r="B123" s="22" t="s">
        <v>52</v>
      </c>
      <c r="C123" s="22" t="s">
        <v>125</v>
      </c>
      <c r="D123" s="22" t="s">
        <v>76</v>
      </c>
      <c r="E123" s="22" t="s">
        <v>241</v>
      </c>
      <c r="F123" s="22" t="n">
        <v>0</v>
      </c>
      <c r="G123" s="21" t="n">
        <v>240</v>
      </c>
      <c r="H123" s="22"/>
      <c r="I123" s="22"/>
    </row>
    <row r="124" customFormat="false" ht="15" hidden="false" customHeight="false" outlineLevel="0" collapsed="false">
      <c r="A124" s="22" t="s">
        <v>117</v>
      </c>
      <c r="B124" s="22" t="s">
        <v>52</v>
      </c>
      <c r="C124" s="22" t="s">
        <v>130</v>
      </c>
      <c r="D124" s="22" t="s">
        <v>77</v>
      </c>
      <c r="E124" s="22" t="s">
        <v>242</v>
      </c>
      <c r="F124" s="22" t="n">
        <v>0</v>
      </c>
      <c r="G124" s="21" t="n">
        <v>3935</v>
      </c>
      <c r="H124" s="22"/>
      <c r="I124" s="22"/>
    </row>
    <row r="125" customFormat="false" ht="15" hidden="false" customHeight="false" outlineLevel="0" collapsed="false">
      <c r="A125" s="22" t="s">
        <v>117</v>
      </c>
      <c r="B125" s="22" t="s">
        <v>52</v>
      </c>
      <c r="C125" s="22" t="s">
        <v>130</v>
      </c>
      <c r="D125" s="22" t="s">
        <v>76</v>
      </c>
      <c r="E125" s="22" t="s">
        <v>243</v>
      </c>
      <c r="F125" s="21" t="n">
        <v>30</v>
      </c>
      <c r="G125" s="22" t="n">
        <v>0</v>
      </c>
      <c r="H125" s="22"/>
      <c r="I125" s="22"/>
    </row>
    <row r="126" customFormat="false" ht="15" hidden="false" customHeight="false" outlineLevel="0" collapsed="false">
      <c r="A126" s="22" t="s">
        <v>117</v>
      </c>
      <c r="B126" s="22" t="s">
        <v>52</v>
      </c>
      <c r="C126" s="22" t="s">
        <v>130</v>
      </c>
      <c r="D126" s="22" t="s">
        <v>76</v>
      </c>
      <c r="E126" s="22" t="s">
        <v>244</v>
      </c>
      <c r="F126" s="21" t="n">
        <v>160</v>
      </c>
      <c r="G126" s="22" t="n">
        <v>0</v>
      </c>
      <c r="H126" s="22"/>
      <c r="I126" s="22"/>
    </row>
    <row r="127" customFormat="false" ht="15" hidden="false" customHeight="false" outlineLevel="0" collapsed="false">
      <c r="A127" s="22" t="s">
        <v>117</v>
      </c>
      <c r="B127" s="22" t="s">
        <v>52</v>
      </c>
      <c r="C127" s="22" t="s">
        <v>130</v>
      </c>
      <c r="D127" s="22" t="s">
        <v>76</v>
      </c>
      <c r="E127" s="22" t="s">
        <v>245</v>
      </c>
      <c r="F127" s="21" t="n">
        <v>200</v>
      </c>
      <c r="G127" s="22" t="n">
        <v>0</v>
      </c>
      <c r="H127" s="22"/>
      <c r="I127" s="22"/>
    </row>
    <row r="128" customFormat="false" ht="15" hidden="false" customHeight="false" outlineLevel="0" collapsed="false">
      <c r="A128" s="22" t="s">
        <v>117</v>
      </c>
      <c r="B128" s="22" t="s">
        <v>52</v>
      </c>
      <c r="C128" s="22" t="s">
        <v>130</v>
      </c>
      <c r="D128" s="22" t="s">
        <v>76</v>
      </c>
      <c r="E128" s="22" t="s">
        <v>246</v>
      </c>
      <c r="F128" s="21" t="n">
        <v>20</v>
      </c>
      <c r="G128" s="22" t="n">
        <v>0</v>
      </c>
      <c r="H128" s="22"/>
      <c r="I128" s="22"/>
    </row>
    <row r="129" customFormat="false" ht="15" hidden="false" customHeight="false" outlineLevel="0" collapsed="false">
      <c r="A129" s="22" t="s">
        <v>117</v>
      </c>
      <c r="B129" s="22" t="s">
        <v>53</v>
      </c>
      <c r="C129" s="22" t="s">
        <v>125</v>
      </c>
      <c r="D129" s="22" t="s">
        <v>76</v>
      </c>
      <c r="E129" s="22" t="s">
        <v>247</v>
      </c>
      <c r="F129" s="22" t="n">
        <v>0</v>
      </c>
      <c r="G129" s="21" t="n">
        <v>1125</v>
      </c>
      <c r="H129" s="22"/>
      <c r="I129" s="22"/>
    </row>
    <row r="130" customFormat="false" ht="15" hidden="false" customHeight="false" outlineLevel="0" collapsed="false">
      <c r="A130" s="22" t="s">
        <v>117</v>
      </c>
      <c r="B130" s="22" t="s">
        <v>53</v>
      </c>
      <c r="C130" s="22" t="s">
        <v>125</v>
      </c>
      <c r="D130" s="22" t="s">
        <v>76</v>
      </c>
      <c r="E130" s="22" t="s">
        <v>248</v>
      </c>
      <c r="F130" s="22" t="n">
        <v>0</v>
      </c>
      <c r="G130" s="21" t="n">
        <v>1950</v>
      </c>
      <c r="H130" s="22"/>
      <c r="I130" s="22"/>
    </row>
    <row r="131" customFormat="false" ht="15" hidden="false" customHeight="false" outlineLevel="0" collapsed="false">
      <c r="A131" s="22" t="s">
        <v>117</v>
      </c>
      <c r="B131" s="22" t="s">
        <v>53</v>
      </c>
      <c r="C131" s="22" t="s">
        <v>130</v>
      </c>
      <c r="D131" s="22" t="s">
        <v>77</v>
      </c>
      <c r="E131" s="22" t="s">
        <v>249</v>
      </c>
      <c r="F131" s="22" t="n">
        <v>0</v>
      </c>
      <c r="G131" s="21" t="n">
        <v>2885</v>
      </c>
      <c r="H131" s="22"/>
      <c r="I131" s="22"/>
    </row>
    <row r="132" customFormat="false" ht="15" hidden="false" customHeight="false" outlineLevel="0" collapsed="false">
      <c r="A132" s="22" t="s">
        <v>117</v>
      </c>
      <c r="B132" s="22" t="s">
        <v>53</v>
      </c>
      <c r="C132" s="22" t="s">
        <v>130</v>
      </c>
      <c r="D132" s="22" t="s">
        <v>76</v>
      </c>
      <c r="E132" s="22" t="s">
        <v>250</v>
      </c>
      <c r="F132" s="21" t="n">
        <v>50</v>
      </c>
      <c r="G132" s="22" t="n">
        <v>0</v>
      </c>
      <c r="H132" s="22"/>
      <c r="I132" s="22"/>
    </row>
    <row r="133" customFormat="false" ht="15" hidden="false" customHeight="false" outlineLevel="0" collapsed="false">
      <c r="A133" s="22" t="s">
        <v>117</v>
      </c>
      <c r="B133" s="22" t="s">
        <v>53</v>
      </c>
      <c r="C133" s="22" t="s">
        <v>130</v>
      </c>
      <c r="D133" s="22" t="s">
        <v>76</v>
      </c>
      <c r="E133" s="22" t="s">
        <v>251</v>
      </c>
      <c r="F133" s="21" t="n">
        <v>10</v>
      </c>
      <c r="G133" s="22" t="n">
        <v>0</v>
      </c>
      <c r="H133" s="22"/>
      <c r="I133" s="22"/>
    </row>
    <row r="134" customFormat="false" ht="15" hidden="false" customHeight="false" outlineLevel="0" collapsed="false">
      <c r="A134" s="22" t="s">
        <v>117</v>
      </c>
      <c r="B134" s="22" t="s">
        <v>53</v>
      </c>
      <c r="C134" s="22" t="s">
        <v>130</v>
      </c>
      <c r="D134" s="22" t="s">
        <v>76</v>
      </c>
      <c r="E134" s="22" t="s">
        <v>252</v>
      </c>
      <c r="F134" s="21" t="n">
        <v>20</v>
      </c>
      <c r="G134" s="22" t="n">
        <v>0</v>
      </c>
      <c r="H134" s="22"/>
      <c r="I134" s="22"/>
    </row>
    <row r="135" customFormat="false" ht="15" hidden="false" customHeight="false" outlineLevel="0" collapsed="false">
      <c r="A135" s="22" t="s">
        <v>117</v>
      </c>
      <c r="B135" s="22" t="s">
        <v>53</v>
      </c>
      <c r="C135" s="22" t="s">
        <v>130</v>
      </c>
      <c r="D135" s="22" t="s">
        <v>76</v>
      </c>
      <c r="E135" s="22" t="s">
        <v>253</v>
      </c>
      <c r="F135" s="21" t="n">
        <v>30</v>
      </c>
      <c r="G135" s="22" t="n">
        <v>0</v>
      </c>
      <c r="H135" s="22"/>
      <c r="I135" s="22"/>
    </row>
    <row r="136" customFormat="false" ht="15" hidden="false" customHeight="false" outlineLevel="0" collapsed="false">
      <c r="A136" s="22" t="s">
        <v>117</v>
      </c>
      <c r="B136" s="22" t="s">
        <v>53</v>
      </c>
      <c r="C136" s="22" t="s">
        <v>130</v>
      </c>
      <c r="D136" s="22" t="s">
        <v>76</v>
      </c>
      <c r="E136" s="22" t="s">
        <v>254</v>
      </c>
      <c r="F136" s="21" t="n">
        <v>9240</v>
      </c>
      <c r="G136" s="22" t="n">
        <v>0</v>
      </c>
      <c r="H136" s="22"/>
      <c r="I136" s="24" t="s">
        <v>255</v>
      </c>
    </row>
    <row r="137" customFormat="false" ht="15" hidden="false" customHeight="false" outlineLevel="0" collapsed="false">
      <c r="A137" s="22" t="s">
        <v>117</v>
      </c>
      <c r="B137" s="22" t="s">
        <v>53</v>
      </c>
      <c r="C137" s="22" t="s">
        <v>130</v>
      </c>
      <c r="D137" s="22" t="s">
        <v>76</v>
      </c>
      <c r="E137" s="22" t="s">
        <v>256</v>
      </c>
      <c r="F137" s="21" t="n">
        <v>300</v>
      </c>
      <c r="G137" s="22" t="n">
        <v>0</v>
      </c>
      <c r="H137" s="22"/>
      <c r="I137" s="22"/>
    </row>
    <row r="138" customFormat="false" ht="15" hidden="false" customHeight="false" outlineLevel="0" collapsed="false">
      <c r="A138" s="22" t="s">
        <v>117</v>
      </c>
      <c r="B138" s="22" t="s">
        <v>53</v>
      </c>
      <c r="C138" s="22" t="s">
        <v>130</v>
      </c>
      <c r="D138" s="22" t="s">
        <v>76</v>
      </c>
      <c r="E138" s="22" t="s">
        <v>257</v>
      </c>
      <c r="F138" s="21" t="n">
        <v>30</v>
      </c>
      <c r="G138" s="22" t="n">
        <v>0</v>
      </c>
      <c r="H138" s="22"/>
      <c r="I138" s="22"/>
    </row>
    <row r="139" customFormat="false" ht="15" hidden="false" customHeight="false" outlineLevel="0" collapsed="false">
      <c r="A139" s="22" t="s">
        <v>117</v>
      </c>
      <c r="B139" s="22" t="s">
        <v>53</v>
      </c>
      <c r="C139" s="22" t="s">
        <v>130</v>
      </c>
      <c r="D139" s="22" t="s">
        <v>76</v>
      </c>
      <c r="E139" s="22" t="s">
        <v>258</v>
      </c>
      <c r="F139" s="21" t="n">
        <v>75</v>
      </c>
      <c r="G139" s="22" t="n">
        <v>0</v>
      </c>
      <c r="H139" s="22"/>
      <c r="I139" s="22"/>
    </row>
    <row r="140" customFormat="false" ht="15" hidden="false" customHeight="false" outlineLevel="0" collapsed="false">
      <c r="A140" s="22" t="s">
        <v>117</v>
      </c>
      <c r="B140" s="22" t="s">
        <v>53</v>
      </c>
      <c r="C140" s="22" t="s">
        <v>130</v>
      </c>
      <c r="D140" s="22" t="s">
        <v>76</v>
      </c>
      <c r="E140" s="22" t="s">
        <v>259</v>
      </c>
      <c r="F140" s="21" t="n">
        <v>300.9</v>
      </c>
      <c r="G140" s="22" t="n">
        <v>0</v>
      </c>
      <c r="H140" s="22"/>
      <c r="I140" s="22"/>
    </row>
    <row r="141" customFormat="false" ht="15" hidden="false" customHeight="false" outlineLevel="0" collapsed="false">
      <c r="A141" s="22" t="s">
        <v>117</v>
      </c>
      <c r="B141" s="22" t="s">
        <v>53</v>
      </c>
      <c r="C141" s="22" t="s">
        <v>130</v>
      </c>
      <c r="D141" s="22" t="s">
        <v>76</v>
      </c>
      <c r="E141" s="22" t="s">
        <v>260</v>
      </c>
      <c r="F141" s="21" t="n">
        <v>25</v>
      </c>
      <c r="G141" s="22" t="n">
        <v>0</v>
      </c>
      <c r="H141" s="22"/>
      <c r="I141" s="22"/>
    </row>
    <row r="142" customFormat="false" ht="15" hidden="false" customHeight="false" outlineLevel="0" collapsed="false">
      <c r="A142" s="22" t="s">
        <v>117</v>
      </c>
      <c r="B142" s="22" t="s">
        <v>53</v>
      </c>
      <c r="C142" s="22" t="s">
        <v>130</v>
      </c>
      <c r="D142" s="22" t="s">
        <v>76</v>
      </c>
      <c r="E142" s="22" t="s">
        <v>261</v>
      </c>
      <c r="F142" s="21" t="n">
        <v>80</v>
      </c>
      <c r="G142" s="22" t="n">
        <v>0</v>
      </c>
      <c r="H142" s="22"/>
      <c r="I142" s="22"/>
    </row>
    <row r="143" customFormat="false" ht="15" hidden="false" customHeight="false" outlineLevel="0" collapsed="false">
      <c r="A143" s="22" t="s">
        <v>117</v>
      </c>
      <c r="B143" s="22" t="s">
        <v>54</v>
      </c>
      <c r="C143" s="22" t="s">
        <v>125</v>
      </c>
      <c r="D143" s="22" t="s">
        <v>76</v>
      </c>
      <c r="E143" s="22" t="s">
        <v>262</v>
      </c>
      <c r="F143" s="21" t="n">
        <v>8400</v>
      </c>
      <c r="G143" s="22" t="n">
        <v>0</v>
      </c>
      <c r="H143" s="22"/>
      <c r="I143" s="24" t="s">
        <v>127</v>
      </c>
    </row>
    <row r="144" customFormat="false" ht="15" hidden="false" customHeight="false" outlineLevel="0" collapsed="false">
      <c r="A144" s="22" t="s">
        <v>117</v>
      </c>
      <c r="B144" s="22" t="s">
        <v>54</v>
      </c>
      <c r="C144" s="22" t="s">
        <v>125</v>
      </c>
      <c r="D144" s="22" t="s">
        <v>76</v>
      </c>
      <c r="E144" s="22" t="s">
        <v>263</v>
      </c>
      <c r="F144" s="21" t="n">
        <v>200</v>
      </c>
      <c r="G144" s="22" t="n">
        <v>0</v>
      </c>
      <c r="H144" s="22"/>
      <c r="I144" s="22"/>
    </row>
    <row r="145" customFormat="false" ht="15" hidden="false" customHeight="false" outlineLevel="0" collapsed="false">
      <c r="A145" s="22" t="s">
        <v>117</v>
      </c>
      <c r="B145" s="22" t="s">
        <v>54</v>
      </c>
      <c r="C145" s="22" t="s">
        <v>125</v>
      </c>
      <c r="D145" s="22" t="s">
        <v>76</v>
      </c>
      <c r="E145" s="22" t="s">
        <v>264</v>
      </c>
      <c r="F145" s="21" t="n">
        <v>170</v>
      </c>
      <c r="G145" s="22" t="n">
        <v>0</v>
      </c>
      <c r="H145" s="22"/>
      <c r="I145" s="22"/>
    </row>
    <row r="146" customFormat="false" ht="15" hidden="false" customHeight="false" outlineLevel="0" collapsed="false">
      <c r="A146" s="22" t="s">
        <v>117</v>
      </c>
      <c r="B146" s="22" t="s">
        <v>54</v>
      </c>
      <c r="C146" s="22" t="s">
        <v>130</v>
      </c>
      <c r="D146" s="22" t="s">
        <v>77</v>
      </c>
      <c r="E146" s="22" t="s">
        <v>265</v>
      </c>
      <c r="F146" s="22" t="n">
        <v>0</v>
      </c>
      <c r="G146" s="21" t="n">
        <v>2240</v>
      </c>
      <c r="H146" s="22"/>
      <c r="I146" s="22"/>
    </row>
    <row r="147" customFormat="false" ht="15" hidden="false" customHeight="false" outlineLevel="0" collapsed="false">
      <c r="A147" s="22" t="s">
        <v>117</v>
      </c>
      <c r="B147" s="22" t="s">
        <v>54</v>
      </c>
      <c r="C147" s="22" t="s">
        <v>130</v>
      </c>
      <c r="D147" s="22" t="s">
        <v>76</v>
      </c>
      <c r="E147" s="22" t="s">
        <v>266</v>
      </c>
      <c r="F147" s="21" t="n">
        <v>50</v>
      </c>
      <c r="G147" s="22" t="n">
        <v>0</v>
      </c>
      <c r="H147" s="22"/>
      <c r="I147" s="22"/>
    </row>
    <row r="148" customFormat="false" ht="15" hidden="false" customHeight="false" outlineLevel="0" collapsed="false">
      <c r="A148" s="22" t="s">
        <v>117</v>
      </c>
      <c r="B148" s="22" t="s">
        <v>54</v>
      </c>
      <c r="C148" s="22" t="s">
        <v>130</v>
      </c>
      <c r="D148" s="22" t="s">
        <v>76</v>
      </c>
      <c r="E148" s="22" t="s">
        <v>267</v>
      </c>
      <c r="F148" s="21" t="n">
        <v>110</v>
      </c>
      <c r="G148" s="22" t="n">
        <v>0</v>
      </c>
      <c r="H148" s="22"/>
      <c r="I148" s="22"/>
    </row>
    <row r="149" customFormat="false" ht="15" hidden="false" customHeight="false" outlineLevel="0" collapsed="false">
      <c r="A149" s="22" t="s">
        <v>117</v>
      </c>
      <c r="B149" s="22" t="s">
        <v>54</v>
      </c>
      <c r="C149" s="22" t="s">
        <v>130</v>
      </c>
      <c r="D149" s="22" t="s">
        <v>76</v>
      </c>
      <c r="E149" s="22" t="s">
        <v>268</v>
      </c>
      <c r="F149" s="21" t="n">
        <v>390</v>
      </c>
      <c r="G149" s="22" t="n">
        <v>0</v>
      </c>
      <c r="H149" s="22"/>
      <c r="I149" s="22"/>
    </row>
    <row r="150" customFormat="false" ht="15" hidden="false" customHeight="false" outlineLevel="0" collapsed="false">
      <c r="A150" s="22" t="s">
        <v>117</v>
      </c>
      <c r="B150" s="22" t="s">
        <v>54</v>
      </c>
      <c r="C150" s="22" t="s">
        <v>130</v>
      </c>
      <c r="D150" s="22" t="s">
        <v>76</v>
      </c>
      <c r="E150" s="22" t="s">
        <v>269</v>
      </c>
      <c r="F150" s="21" t="n">
        <v>9240</v>
      </c>
      <c r="G150" s="22" t="n">
        <v>0</v>
      </c>
      <c r="H150" s="22"/>
      <c r="I150" s="24" t="s">
        <v>255</v>
      </c>
    </row>
    <row r="151" customFormat="false" ht="15" hidden="false" customHeight="false" outlineLevel="0" collapsed="false">
      <c r="A151" s="22" t="s">
        <v>117</v>
      </c>
      <c r="B151" s="22" t="s">
        <v>55</v>
      </c>
      <c r="C151" s="22" t="s">
        <v>125</v>
      </c>
      <c r="D151" s="22" t="s">
        <v>76</v>
      </c>
      <c r="E151" s="22" t="s">
        <v>270</v>
      </c>
      <c r="F151" s="21" t="n">
        <v>1200</v>
      </c>
      <c r="G151" s="22" t="n">
        <v>0</v>
      </c>
      <c r="H151" s="22"/>
      <c r="I151" s="22"/>
    </row>
    <row r="152" customFormat="false" ht="15" hidden="false" customHeight="false" outlineLevel="0" collapsed="false">
      <c r="A152" s="22" t="s">
        <v>117</v>
      </c>
      <c r="B152" s="22" t="s">
        <v>55</v>
      </c>
      <c r="C152" s="22" t="s">
        <v>125</v>
      </c>
      <c r="D152" s="22" t="s">
        <v>76</v>
      </c>
      <c r="E152" s="22" t="s">
        <v>271</v>
      </c>
      <c r="F152" s="21" t="n">
        <v>30</v>
      </c>
      <c r="G152" s="22" t="n">
        <v>0</v>
      </c>
      <c r="H152" s="22"/>
      <c r="I152" s="22"/>
    </row>
    <row r="153" customFormat="false" ht="15" hidden="false" customHeight="false" outlineLevel="0" collapsed="false">
      <c r="A153" s="22" t="s">
        <v>117</v>
      </c>
      <c r="B153" s="22" t="s">
        <v>55</v>
      </c>
      <c r="C153" s="22" t="s">
        <v>125</v>
      </c>
      <c r="D153" s="22" t="s">
        <v>76</v>
      </c>
      <c r="E153" s="22" t="s">
        <v>272</v>
      </c>
      <c r="F153" s="21" t="n">
        <v>114</v>
      </c>
      <c r="G153" s="22" t="n">
        <v>0</v>
      </c>
      <c r="H153" s="22"/>
      <c r="I153" s="22"/>
    </row>
    <row r="154" customFormat="false" ht="15" hidden="false" customHeight="false" outlineLevel="0" collapsed="false">
      <c r="A154" s="22" t="s">
        <v>117</v>
      </c>
      <c r="B154" s="22" t="s">
        <v>55</v>
      </c>
      <c r="C154" s="22" t="s">
        <v>125</v>
      </c>
      <c r="D154" s="22" t="s">
        <v>76</v>
      </c>
      <c r="E154" s="22" t="s">
        <v>273</v>
      </c>
      <c r="F154" s="21" t="n">
        <v>1000</v>
      </c>
      <c r="G154" s="22" t="n">
        <v>0</v>
      </c>
      <c r="H154" s="22"/>
      <c r="I154" s="22"/>
    </row>
    <row r="155" customFormat="false" ht="15" hidden="false" customHeight="false" outlineLevel="0" collapsed="false">
      <c r="A155" s="22" t="s">
        <v>117</v>
      </c>
      <c r="B155" s="22" t="s">
        <v>55</v>
      </c>
      <c r="C155" s="22" t="s">
        <v>125</v>
      </c>
      <c r="D155" s="22" t="s">
        <v>76</v>
      </c>
      <c r="E155" s="22" t="s">
        <v>274</v>
      </c>
      <c r="F155" s="21" t="n">
        <v>160</v>
      </c>
      <c r="G155" s="22" t="n">
        <v>0</v>
      </c>
      <c r="H155" s="22"/>
      <c r="I155" s="22"/>
    </row>
    <row r="156" customFormat="false" ht="15" hidden="false" customHeight="false" outlineLevel="0" collapsed="false">
      <c r="A156" s="22" t="s">
        <v>117</v>
      </c>
      <c r="B156" s="22" t="s">
        <v>55</v>
      </c>
      <c r="C156" s="22" t="s">
        <v>130</v>
      </c>
      <c r="D156" s="22" t="s">
        <v>77</v>
      </c>
      <c r="E156" s="22" t="s">
        <v>275</v>
      </c>
      <c r="F156" s="22" t="n">
        <v>0</v>
      </c>
      <c r="G156" s="21" t="n">
        <v>3100</v>
      </c>
      <c r="H156" s="22"/>
      <c r="I156" s="22"/>
    </row>
    <row r="157" customFormat="false" ht="15" hidden="false" customHeight="false" outlineLevel="0" collapsed="false">
      <c r="A157" s="22" t="s">
        <v>117</v>
      </c>
      <c r="B157" s="22" t="s">
        <v>56</v>
      </c>
      <c r="C157" s="22" t="s">
        <v>125</v>
      </c>
      <c r="D157" s="22" t="s">
        <v>76</v>
      </c>
      <c r="E157" s="22" t="s">
        <v>276</v>
      </c>
      <c r="F157" s="21" t="n">
        <v>30</v>
      </c>
      <c r="G157" s="22" t="n">
        <v>0</v>
      </c>
      <c r="H157" s="22"/>
      <c r="I157" s="22"/>
    </row>
    <row r="158" customFormat="false" ht="15" hidden="false" customHeight="false" outlineLevel="0" collapsed="false">
      <c r="A158" s="22" t="s">
        <v>117</v>
      </c>
      <c r="B158" s="22" t="s">
        <v>56</v>
      </c>
      <c r="C158" s="22" t="s">
        <v>125</v>
      </c>
      <c r="D158" s="22" t="s">
        <v>76</v>
      </c>
      <c r="E158" s="22" t="s">
        <v>277</v>
      </c>
      <c r="F158" s="22" t="n">
        <v>0</v>
      </c>
      <c r="G158" s="21" t="n">
        <v>1300</v>
      </c>
      <c r="H158" s="22"/>
      <c r="I158" s="22"/>
    </row>
    <row r="159" customFormat="false" ht="15" hidden="false" customHeight="false" outlineLevel="0" collapsed="false">
      <c r="A159" s="22" t="s">
        <v>117</v>
      </c>
      <c r="B159" s="22" t="s">
        <v>56</v>
      </c>
      <c r="C159" s="22" t="s">
        <v>125</v>
      </c>
      <c r="D159" s="22" t="s">
        <v>76</v>
      </c>
      <c r="E159" s="22" t="s">
        <v>278</v>
      </c>
      <c r="F159" s="21" t="n">
        <v>3400</v>
      </c>
      <c r="G159" s="22" t="n">
        <v>0</v>
      </c>
      <c r="H159" s="22"/>
      <c r="I159" s="24" t="s">
        <v>127</v>
      </c>
    </row>
    <row r="160" customFormat="false" ht="15" hidden="false" customHeight="false" outlineLevel="0" collapsed="false">
      <c r="A160" s="22" t="s">
        <v>117</v>
      </c>
      <c r="B160" s="22" t="s">
        <v>56</v>
      </c>
      <c r="C160" s="22" t="s">
        <v>125</v>
      </c>
      <c r="D160" s="22" t="s">
        <v>76</v>
      </c>
      <c r="E160" s="22" t="s">
        <v>279</v>
      </c>
      <c r="F160" s="21" t="n">
        <v>100</v>
      </c>
      <c r="G160" s="22" t="n">
        <v>0</v>
      </c>
      <c r="H160" s="22"/>
      <c r="I160" s="22"/>
    </row>
    <row r="161" customFormat="false" ht="15" hidden="false" customHeight="false" outlineLevel="0" collapsed="false">
      <c r="A161" s="22" t="s">
        <v>117</v>
      </c>
      <c r="B161" s="22" t="s">
        <v>56</v>
      </c>
      <c r="C161" s="22" t="s">
        <v>130</v>
      </c>
      <c r="D161" s="22" t="s">
        <v>77</v>
      </c>
      <c r="E161" s="22" t="s">
        <v>280</v>
      </c>
      <c r="F161" s="22" t="n">
        <v>0</v>
      </c>
      <c r="G161" s="21" t="n">
        <v>2100</v>
      </c>
      <c r="H161" s="22"/>
      <c r="I161" s="22"/>
    </row>
    <row r="162" customFormat="false" ht="15" hidden="false" customHeight="false" outlineLevel="0" collapsed="false">
      <c r="A162" s="22" t="s">
        <v>117</v>
      </c>
      <c r="B162" s="22" t="s">
        <v>57</v>
      </c>
      <c r="C162" s="22" t="s">
        <v>130</v>
      </c>
      <c r="D162" s="22" t="s">
        <v>77</v>
      </c>
      <c r="E162" s="22" t="s">
        <v>281</v>
      </c>
      <c r="F162" s="22" t="n">
        <v>0</v>
      </c>
      <c r="G162" s="21" t="n">
        <v>120</v>
      </c>
      <c r="H162" s="22"/>
      <c r="I162" s="22"/>
    </row>
    <row r="163" customFormat="false" ht="15" hidden="false" customHeight="false" outlineLevel="0" collapsed="false">
      <c r="A163" s="22" t="s">
        <v>117</v>
      </c>
      <c r="B163" s="22" t="s">
        <v>57</v>
      </c>
      <c r="C163" s="22" t="s">
        <v>130</v>
      </c>
      <c r="D163" s="22" t="s">
        <v>76</v>
      </c>
      <c r="E163" s="22" t="s">
        <v>282</v>
      </c>
      <c r="F163" s="21" t="n">
        <v>9240</v>
      </c>
      <c r="G163" s="22" t="n">
        <v>0</v>
      </c>
      <c r="H163" s="22"/>
      <c r="I163" s="24" t="s">
        <v>255</v>
      </c>
    </row>
    <row r="164" customFormat="false" ht="15" hidden="false" customHeight="false" outlineLevel="0" collapsed="false">
      <c r="A164" s="22" t="s">
        <v>117</v>
      </c>
      <c r="B164" s="22" t="s">
        <v>57</v>
      </c>
      <c r="C164" s="22" t="s">
        <v>130</v>
      </c>
      <c r="D164" s="22" t="s">
        <v>76</v>
      </c>
      <c r="E164" s="22" t="s">
        <v>283</v>
      </c>
      <c r="F164" s="21" t="n">
        <v>105</v>
      </c>
      <c r="G164" s="22" t="n">
        <v>0</v>
      </c>
      <c r="H164" s="22"/>
      <c r="I164" s="22"/>
    </row>
    <row r="165" customFormat="false" ht="15" hidden="false" customHeight="false" outlineLevel="0" collapsed="false">
      <c r="A165" s="22" t="s">
        <v>117</v>
      </c>
      <c r="B165" s="22" t="s">
        <v>57</v>
      </c>
      <c r="C165" s="22" t="s">
        <v>130</v>
      </c>
      <c r="D165" s="22" t="s">
        <v>76</v>
      </c>
      <c r="E165" s="22" t="s">
        <v>284</v>
      </c>
      <c r="F165" s="21" t="n">
        <v>40</v>
      </c>
      <c r="G165" s="22" t="n">
        <v>0</v>
      </c>
      <c r="H165" s="22"/>
      <c r="I165" s="22"/>
    </row>
    <row r="166" customFormat="false" ht="15" hidden="false" customHeight="false" outlineLevel="0" collapsed="false">
      <c r="A166" s="22" t="s">
        <v>117</v>
      </c>
      <c r="B166" s="22" t="s">
        <v>58</v>
      </c>
      <c r="C166" s="22" t="s">
        <v>125</v>
      </c>
      <c r="D166" s="22" t="s">
        <v>76</v>
      </c>
      <c r="E166" s="22" t="s">
        <v>285</v>
      </c>
      <c r="F166" s="22" t="n">
        <v>0</v>
      </c>
      <c r="G166" s="21" t="n">
        <v>4180</v>
      </c>
      <c r="H166" s="22"/>
      <c r="I166" s="22"/>
    </row>
    <row r="167" customFormat="false" ht="15" hidden="false" customHeight="false" outlineLevel="0" collapsed="false">
      <c r="A167" s="22" t="s">
        <v>117</v>
      </c>
      <c r="B167" s="22" t="s">
        <v>58</v>
      </c>
      <c r="C167" s="22" t="s">
        <v>130</v>
      </c>
      <c r="D167" s="22" t="s">
        <v>76</v>
      </c>
      <c r="E167" s="22" t="s">
        <v>286</v>
      </c>
      <c r="F167" s="21" t="n">
        <v>500</v>
      </c>
      <c r="G167" s="22" t="n">
        <v>0</v>
      </c>
      <c r="H167" s="22"/>
      <c r="I167" s="22"/>
    </row>
    <row r="168" customFormat="false" ht="15" hidden="false" customHeight="false" outlineLevel="0" collapsed="false">
      <c r="A168" s="22" t="s">
        <v>117</v>
      </c>
      <c r="B168" s="22" t="s">
        <v>59</v>
      </c>
      <c r="C168" s="22" t="s">
        <v>125</v>
      </c>
      <c r="D168" s="22" t="s">
        <v>76</v>
      </c>
      <c r="E168" s="22" t="s">
        <v>287</v>
      </c>
      <c r="F168" s="21" t="n">
        <v>4620</v>
      </c>
      <c r="G168" s="22" t="n">
        <v>0</v>
      </c>
      <c r="H168" s="22"/>
      <c r="I168" s="24" t="s">
        <v>255</v>
      </c>
    </row>
    <row r="169" customFormat="false" ht="15" hidden="false" customHeight="false" outlineLevel="0" collapsed="false">
      <c r="A169" s="22" t="s">
        <v>117</v>
      </c>
      <c r="B169" s="22" t="s">
        <v>59</v>
      </c>
      <c r="C169" s="22" t="s">
        <v>125</v>
      </c>
      <c r="D169" s="22" t="s">
        <v>76</v>
      </c>
      <c r="E169" s="22" t="s">
        <v>288</v>
      </c>
      <c r="F169" s="21" t="n">
        <v>3175</v>
      </c>
      <c r="G169" s="22" t="n">
        <v>0</v>
      </c>
      <c r="H169" s="22"/>
      <c r="I169" s="24" t="s">
        <v>255</v>
      </c>
    </row>
    <row r="170" customFormat="false" ht="15" hidden="false" customHeight="false" outlineLevel="0" collapsed="false">
      <c r="A170" s="22" t="s">
        <v>117</v>
      </c>
      <c r="B170" s="22" t="s">
        <v>59</v>
      </c>
      <c r="C170" s="22" t="s">
        <v>125</v>
      </c>
      <c r="D170" s="22" t="s">
        <v>83</v>
      </c>
      <c r="E170" s="22" t="s">
        <v>289</v>
      </c>
      <c r="F170" s="22" t="n">
        <v>0</v>
      </c>
      <c r="G170" s="21" t="n">
        <v>36.45</v>
      </c>
      <c r="H170" s="22"/>
      <c r="I170" s="22"/>
    </row>
    <row r="171" customFormat="false" ht="15" hidden="false" customHeight="false" outlineLevel="0" collapsed="false">
      <c r="A171" s="22" t="s">
        <v>117</v>
      </c>
      <c r="B171" s="22" t="s">
        <v>59</v>
      </c>
      <c r="C171" s="22" t="s">
        <v>130</v>
      </c>
      <c r="D171" s="22" t="s">
        <v>76</v>
      </c>
      <c r="E171" s="22" t="s">
        <v>290</v>
      </c>
      <c r="F171" s="21" t="n">
        <v>2000</v>
      </c>
      <c r="G171" s="22" t="n">
        <v>0</v>
      </c>
      <c r="H171" s="22"/>
      <c r="I171" s="24" t="s">
        <v>255</v>
      </c>
    </row>
    <row r="172" customFormat="false" ht="15" hidden="false" customHeight="false" outlineLevel="0" collapsed="false">
      <c r="A172" s="22" t="s">
        <v>117</v>
      </c>
      <c r="B172" s="22" t="s">
        <v>61</v>
      </c>
      <c r="C172" s="22" t="s">
        <v>125</v>
      </c>
      <c r="D172" s="22" t="s">
        <v>76</v>
      </c>
      <c r="E172" s="22" t="s">
        <v>291</v>
      </c>
      <c r="F172" s="22" t="n">
        <v>0</v>
      </c>
      <c r="G172" s="21" t="n">
        <v>3780</v>
      </c>
      <c r="H172" s="22"/>
      <c r="I172" s="22"/>
    </row>
    <row r="173" customFormat="false" ht="15" hidden="false" customHeight="false" outlineLevel="0" collapsed="false">
      <c r="A173" s="22" t="s">
        <v>117</v>
      </c>
      <c r="B173" s="22" t="s">
        <v>62</v>
      </c>
      <c r="C173" s="22" t="s">
        <v>125</v>
      </c>
      <c r="D173" s="22" t="s">
        <v>76</v>
      </c>
      <c r="E173" s="22" t="s">
        <v>292</v>
      </c>
      <c r="F173" s="22" t="n">
        <v>0</v>
      </c>
      <c r="G173" s="21" t="n">
        <v>3400</v>
      </c>
      <c r="H173" s="22"/>
      <c r="I173" s="22"/>
    </row>
    <row r="174" customFormat="false" ht="15" hidden="false" customHeight="false" outlineLevel="0" collapsed="false">
      <c r="A174" s="22" t="s">
        <v>117</v>
      </c>
      <c r="B174" s="22" t="s">
        <v>62</v>
      </c>
      <c r="C174" s="22" t="s">
        <v>125</v>
      </c>
      <c r="D174" s="22" t="s">
        <v>76</v>
      </c>
      <c r="E174" s="22" t="s">
        <v>293</v>
      </c>
      <c r="F174" s="21" t="n">
        <v>20</v>
      </c>
      <c r="G174" s="22" t="n">
        <v>0</v>
      </c>
      <c r="H174" s="22"/>
      <c r="I174" s="22"/>
    </row>
    <row r="175" customFormat="false" ht="15" hidden="false" customHeight="false" outlineLevel="0" collapsed="false">
      <c r="A175" s="22" t="s">
        <v>117</v>
      </c>
      <c r="B175" s="22" t="s">
        <v>62</v>
      </c>
      <c r="C175" s="22" t="s">
        <v>125</v>
      </c>
      <c r="D175" s="22" t="s">
        <v>76</v>
      </c>
      <c r="E175" s="22" t="s">
        <v>294</v>
      </c>
      <c r="F175" s="22" t="n">
        <v>0</v>
      </c>
      <c r="G175" s="21" t="n">
        <v>3650</v>
      </c>
      <c r="H175" s="22"/>
      <c r="I175" s="22"/>
    </row>
    <row r="176" customFormat="false" ht="15" hidden="false" customHeight="false" outlineLevel="0" collapsed="false">
      <c r="A176" s="22" t="s">
        <v>117</v>
      </c>
      <c r="B176" s="22" t="s">
        <v>63</v>
      </c>
      <c r="C176" s="22" t="s">
        <v>125</v>
      </c>
      <c r="D176" s="22" t="s">
        <v>76</v>
      </c>
      <c r="E176" s="22" t="s">
        <v>295</v>
      </c>
      <c r="F176" s="22" t="n">
        <v>0</v>
      </c>
      <c r="G176" s="21" t="n">
        <v>5180</v>
      </c>
      <c r="H176" s="22"/>
      <c r="I176" s="22"/>
    </row>
    <row r="177" customFormat="false" ht="15" hidden="false" customHeight="false" outlineLevel="0" collapsed="false">
      <c r="A177" s="22" t="s">
        <v>117</v>
      </c>
      <c r="B177" s="22" t="s">
        <v>63</v>
      </c>
      <c r="C177" s="22" t="s">
        <v>130</v>
      </c>
      <c r="D177" s="22" t="s">
        <v>76</v>
      </c>
      <c r="E177" s="22" t="s">
        <v>296</v>
      </c>
      <c r="F177" s="21" t="n">
        <v>20</v>
      </c>
      <c r="G177" s="22" t="n">
        <v>0</v>
      </c>
      <c r="H177" s="22"/>
      <c r="I177" s="22"/>
    </row>
    <row r="178" customFormat="false" ht="15" hidden="false" customHeight="false" outlineLevel="0" collapsed="false">
      <c r="A178" s="22" t="s">
        <v>117</v>
      </c>
      <c r="B178" s="22" t="s">
        <v>64</v>
      </c>
      <c r="C178" s="22" t="s">
        <v>125</v>
      </c>
      <c r="D178" s="22" t="s">
        <v>76</v>
      </c>
      <c r="E178" s="22" t="s">
        <v>297</v>
      </c>
      <c r="F178" s="22" t="n">
        <v>0</v>
      </c>
      <c r="G178" s="21" t="n">
        <v>2700</v>
      </c>
      <c r="H178" s="22"/>
      <c r="I178" s="22"/>
    </row>
    <row r="179" customFormat="false" ht="15" hidden="false" customHeight="false" outlineLevel="0" collapsed="false">
      <c r="A179" s="22" t="s">
        <v>117</v>
      </c>
      <c r="B179" s="22" t="s">
        <v>66</v>
      </c>
      <c r="C179" s="22" t="s">
        <v>130</v>
      </c>
      <c r="D179" s="22" t="s">
        <v>76</v>
      </c>
      <c r="E179" s="22" t="s">
        <v>298</v>
      </c>
      <c r="F179" s="22" t="n">
        <v>0</v>
      </c>
      <c r="G179" s="21" t="n">
        <v>1</v>
      </c>
      <c r="H179" s="22"/>
      <c r="I179" s="22"/>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70"/>
    <col collapsed="false" customWidth="true" hidden="false" outlineLevel="0" max="3" min="3" style="1" width="20"/>
    <col collapsed="false" customWidth="true" hidden="false" outlineLevel="0" max="6" min="4" style="1" width="15"/>
  </cols>
  <sheetData>
    <row r="1" customFormat="false" ht="15.75" hidden="false" customHeight="true" outlineLevel="0" collapsed="false">
      <c r="A1" s="2" t="s">
        <v>299</v>
      </c>
      <c r="B1" s="2"/>
      <c r="C1" s="2"/>
      <c r="D1" s="2"/>
      <c r="E1" s="2"/>
      <c r="F1" s="2"/>
    </row>
    <row r="2" customFormat="false" ht="15" hidden="false" customHeight="true" outlineLevel="0" collapsed="false">
      <c r="A2" s="3" t="s">
        <v>300</v>
      </c>
      <c r="B2" s="3"/>
      <c r="C2" s="3"/>
      <c r="D2" s="3"/>
      <c r="E2" s="3"/>
      <c r="F2" s="3"/>
    </row>
    <row r="4" customFormat="false" ht="15" hidden="false" customHeight="true" outlineLevel="0" collapsed="false">
      <c r="A4" s="26" t="s">
        <v>2</v>
      </c>
      <c r="B4" s="26" t="s">
        <v>120</v>
      </c>
      <c r="C4" s="26" t="s">
        <v>72</v>
      </c>
      <c r="D4" s="26" t="s">
        <v>73</v>
      </c>
      <c r="E4" s="26" t="s">
        <v>74</v>
      </c>
      <c r="F4" s="26" t="s">
        <v>301</v>
      </c>
    </row>
    <row r="5" customFormat="false" ht="15" hidden="false" customHeight="true" outlineLevel="0" collapsed="false">
      <c r="A5" s="5" t="s">
        <v>41</v>
      </c>
      <c r="B5" s="5" t="s">
        <v>302</v>
      </c>
      <c r="C5" s="5" t="s">
        <v>80</v>
      </c>
      <c r="D5" s="6"/>
      <c r="E5" s="6" t="n">
        <v>50000</v>
      </c>
      <c r="F5" s="6" t="n">
        <v>50000</v>
      </c>
    </row>
    <row r="6" customFormat="false" ht="15" hidden="false" customHeight="true" outlineLevel="0" collapsed="false">
      <c r="A6" s="5" t="s">
        <v>46</v>
      </c>
      <c r="B6" s="5" t="s">
        <v>303</v>
      </c>
      <c r="C6" s="5" t="s">
        <v>76</v>
      </c>
      <c r="D6" s="6"/>
      <c r="E6" s="6" t="n">
        <v>221</v>
      </c>
      <c r="F6" s="6" t="n">
        <v>50221</v>
      </c>
    </row>
    <row r="7" customFormat="false" ht="15" hidden="false" customHeight="true" outlineLevel="0" collapsed="false">
      <c r="A7" s="5" t="s">
        <v>50</v>
      </c>
      <c r="B7" s="5" t="s">
        <v>304</v>
      </c>
      <c r="C7" s="5" t="s">
        <v>76</v>
      </c>
      <c r="D7" s="6"/>
      <c r="E7" s="6" t="n">
        <v>2600</v>
      </c>
      <c r="F7" s="6" t="n">
        <v>52821</v>
      </c>
    </row>
    <row r="8" customFormat="false" ht="15" hidden="false" customHeight="true" outlineLevel="0" collapsed="false">
      <c r="A8" s="5" t="s">
        <v>51</v>
      </c>
      <c r="B8" s="5" t="s">
        <v>305</v>
      </c>
      <c r="C8" s="5" t="s">
        <v>76</v>
      </c>
      <c r="D8" s="6"/>
      <c r="E8" s="6" t="n">
        <v>360</v>
      </c>
      <c r="F8" s="6" t="n">
        <v>53181</v>
      </c>
    </row>
    <row r="9" customFormat="false" ht="15" hidden="false" customHeight="true" outlineLevel="0" collapsed="false">
      <c r="A9" s="5" t="s">
        <v>52</v>
      </c>
      <c r="B9" s="5" t="s">
        <v>306</v>
      </c>
      <c r="C9" s="5" t="s">
        <v>76</v>
      </c>
      <c r="D9" s="6"/>
      <c r="E9" s="6" t="n">
        <v>3080</v>
      </c>
      <c r="F9" s="6" t="n">
        <v>56261</v>
      </c>
    </row>
    <row r="10" customFormat="false" ht="15" hidden="false" customHeight="true" outlineLevel="0" collapsed="false">
      <c r="A10" s="5" t="s">
        <v>53</v>
      </c>
      <c r="B10" s="5" t="s">
        <v>307</v>
      </c>
      <c r="C10" s="5" t="s">
        <v>76</v>
      </c>
      <c r="D10" s="6"/>
      <c r="E10" s="6" t="n">
        <v>60</v>
      </c>
      <c r="F10" s="6" t="n">
        <v>56321</v>
      </c>
    </row>
    <row r="11" customFormat="false" ht="15" hidden="false" customHeight="true" outlineLevel="0" collapsed="false">
      <c r="A11" s="5" t="s">
        <v>54</v>
      </c>
      <c r="B11" s="5" t="s">
        <v>308</v>
      </c>
      <c r="C11" s="5" t="s">
        <v>76</v>
      </c>
      <c r="D11" s="6"/>
      <c r="E11" s="6" t="n">
        <v>1095</v>
      </c>
      <c r="F11" s="6" t="n">
        <v>57416</v>
      </c>
    </row>
    <row r="12" customFormat="false" ht="15" hidden="false" customHeight="true" outlineLevel="0" collapsed="false">
      <c r="A12" s="5" t="s">
        <v>57</v>
      </c>
      <c r="B12" s="5" t="s">
        <v>309</v>
      </c>
      <c r="C12" s="5" t="s">
        <v>76</v>
      </c>
      <c r="D12" s="6"/>
      <c r="E12" s="6" t="n">
        <v>160</v>
      </c>
      <c r="F12" s="6" t="n">
        <v>57576</v>
      </c>
    </row>
    <row r="13" customFormat="false" ht="15" hidden="false" customHeight="true" outlineLevel="0" collapsed="false">
      <c r="A13" s="5" t="s">
        <v>57</v>
      </c>
      <c r="B13" s="5" t="s">
        <v>310</v>
      </c>
      <c r="C13" s="5" t="s">
        <v>76</v>
      </c>
      <c r="D13" s="6"/>
      <c r="E13" s="6" t="n">
        <v>235</v>
      </c>
      <c r="F13" s="6" t="n">
        <v>57811</v>
      </c>
    </row>
    <row r="14" customFormat="false" ht="15" hidden="false" customHeight="true" outlineLevel="0" collapsed="false">
      <c r="A14" s="5" t="s">
        <v>57</v>
      </c>
      <c r="B14" s="5" t="s">
        <v>311</v>
      </c>
      <c r="C14" s="5" t="s">
        <v>76</v>
      </c>
      <c r="D14" s="6"/>
      <c r="E14" s="6" t="n">
        <v>6300</v>
      </c>
      <c r="F14" s="6" t="n">
        <v>64111</v>
      </c>
    </row>
    <row r="15" customFormat="false" ht="15" hidden="false" customHeight="true" outlineLevel="0" collapsed="false">
      <c r="A15" s="5" t="s">
        <v>57</v>
      </c>
      <c r="B15" s="5" t="s">
        <v>312</v>
      </c>
      <c r="C15" s="5" t="s">
        <v>76</v>
      </c>
      <c r="D15" s="6"/>
      <c r="E15" s="6" t="n">
        <v>1160</v>
      </c>
      <c r="F15" s="6" t="n">
        <v>65271</v>
      </c>
    </row>
    <row r="16" customFormat="false" ht="15" hidden="false" customHeight="true" outlineLevel="0" collapsed="false">
      <c r="A16" s="5" t="s">
        <v>57</v>
      </c>
      <c r="B16" s="5" t="s">
        <v>313</v>
      </c>
      <c r="C16" s="5" t="s">
        <v>76</v>
      </c>
      <c r="D16" s="6"/>
      <c r="E16" s="6" t="n">
        <v>290</v>
      </c>
      <c r="F16" s="6" t="n">
        <v>65561</v>
      </c>
    </row>
    <row r="17" customFormat="false" ht="15" hidden="false" customHeight="true" outlineLevel="0" collapsed="false">
      <c r="A17" s="5" t="s">
        <v>57</v>
      </c>
      <c r="B17" s="5" t="s">
        <v>314</v>
      </c>
      <c r="C17" s="5" t="s">
        <v>76</v>
      </c>
      <c r="D17" s="6"/>
      <c r="E17" s="6" t="n">
        <v>1040</v>
      </c>
      <c r="F17" s="6" t="n">
        <v>66601</v>
      </c>
    </row>
    <row r="18" customFormat="false" ht="15" hidden="false" customHeight="true" outlineLevel="0" collapsed="false">
      <c r="A18" s="5" t="s">
        <v>57</v>
      </c>
      <c r="B18" s="5" t="s">
        <v>315</v>
      </c>
      <c r="C18" s="5" t="s">
        <v>76</v>
      </c>
      <c r="D18" s="6"/>
      <c r="E18" s="6" t="n">
        <v>200</v>
      </c>
      <c r="F18" s="6" t="n">
        <v>66801</v>
      </c>
    </row>
    <row r="19" customFormat="false" ht="15" hidden="false" customHeight="true" outlineLevel="0" collapsed="false">
      <c r="A19" s="5" t="s">
        <v>57</v>
      </c>
      <c r="B19" s="5" t="s">
        <v>316</v>
      </c>
      <c r="C19" s="5" t="s">
        <v>76</v>
      </c>
      <c r="D19" s="6"/>
      <c r="E19" s="6" t="n">
        <v>100</v>
      </c>
      <c r="F19" s="6" t="n">
        <v>66901</v>
      </c>
    </row>
    <row r="20" customFormat="false" ht="15" hidden="false" customHeight="true" outlineLevel="0" collapsed="false">
      <c r="A20" s="5" t="s">
        <v>57</v>
      </c>
      <c r="B20" s="5" t="s">
        <v>317</v>
      </c>
      <c r="C20" s="5" t="s">
        <v>76</v>
      </c>
      <c r="D20" s="6"/>
      <c r="E20" s="6" t="n">
        <v>630</v>
      </c>
      <c r="F20" s="6" t="n">
        <v>67531</v>
      </c>
    </row>
    <row r="21" customFormat="false" ht="15" hidden="false" customHeight="true" outlineLevel="0" collapsed="false">
      <c r="A21" s="5" t="s">
        <v>57</v>
      </c>
      <c r="B21" s="5" t="s">
        <v>318</v>
      </c>
      <c r="C21" s="5" t="s">
        <v>76</v>
      </c>
      <c r="D21" s="6"/>
      <c r="E21" s="6" t="n">
        <v>80</v>
      </c>
      <c r="F21" s="6" t="n">
        <v>67611</v>
      </c>
    </row>
    <row r="22" customFormat="false" ht="15" hidden="false" customHeight="true" outlineLevel="0" collapsed="false">
      <c r="A22" s="5" t="s">
        <v>57</v>
      </c>
      <c r="B22" s="5" t="s">
        <v>319</v>
      </c>
      <c r="C22" s="5" t="s">
        <v>76</v>
      </c>
      <c r="D22" s="6"/>
      <c r="E22" s="6" t="n">
        <v>240</v>
      </c>
      <c r="F22" s="6" t="n">
        <v>67851</v>
      </c>
    </row>
    <row r="23" customFormat="false" ht="15" hidden="false" customHeight="true" outlineLevel="0" collapsed="false">
      <c r="A23" s="5" t="s">
        <v>57</v>
      </c>
      <c r="B23" s="5" t="s">
        <v>320</v>
      </c>
      <c r="C23" s="5" t="s">
        <v>76</v>
      </c>
      <c r="D23" s="6"/>
      <c r="E23" s="6" t="n">
        <v>120</v>
      </c>
      <c r="F23" s="6" t="n">
        <v>67971</v>
      </c>
    </row>
    <row r="24" customFormat="false" ht="15" hidden="false" customHeight="true" outlineLevel="0" collapsed="false">
      <c r="A24" s="5" t="s">
        <v>57</v>
      </c>
      <c r="B24" s="5" t="s">
        <v>321</v>
      </c>
      <c r="C24" s="5" t="s">
        <v>76</v>
      </c>
      <c r="D24" s="6"/>
      <c r="E24" s="6" t="n">
        <v>20</v>
      </c>
      <c r="F24" s="6" t="n">
        <v>67991</v>
      </c>
    </row>
    <row r="25" customFormat="false" ht="15" hidden="false" customHeight="true" outlineLevel="0" collapsed="false">
      <c r="A25" s="5" t="s">
        <v>57</v>
      </c>
      <c r="B25" s="5" t="s">
        <v>322</v>
      </c>
      <c r="C25" s="5" t="s">
        <v>76</v>
      </c>
      <c r="D25" s="6"/>
      <c r="E25" s="6" t="n">
        <v>110</v>
      </c>
      <c r="F25" s="6" t="n">
        <v>68101</v>
      </c>
    </row>
    <row r="26" customFormat="false" ht="15" hidden="false" customHeight="true" outlineLevel="0" collapsed="false">
      <c r="A26" s="5" t="s">
        <v>57</v>
      </c>
      <c r="B26" s="5" t="s">
        <v>323</v>
      </c>
      <c r="C26" s="5" t="s">
        <v>76</v>
      </c>
      <c r="D26" s="6"/>
      <c r="E26" s="6" t="n">
        <v>190</v>
      </c>
      <c r="F26" s="6" t="n">
        <v>68291</v>
      </c>
    </row>
    <row r="27" customFormat="false" ht="15" hidden="false" customHeight="true" outlineLevel="0" collapsed="false">
      <c r="A27" s="5" t="s">
        <v>57</v>
      </c>
      <c r="B27" s="5" t="s">
        <v>324</v>
      </c>
      <c r="C27" s="5" t="s">
        <v>76</v>
      </c>
      <c r="D27" s="6"/>
      <c r="E27" s="6" t="n">
        <v>320</v>
      </c>
      <c r="F27" s="6" t="n">
        <v>68611</v>
      </c>
    </row>
    <row r="28" customFormat="false" ht="15" hidden="false" customHeight="true" outlineLevel="0" collapsed="false">
      <c r="A28" s="5" t="s">
        <v>57</v>
      </c>
      <c r="B28" s="5" t="s">
        <v>325</v>
      </c>
      <c r="C28" s="5" t="s">
        <v>76</v>
      </c>
      <c r="D28" s="6"/>
      <c r="E28" s="6" t="n">
        <v>75</v>
      </c>
      <c r="F28" s="6" t="n">
        <v>68686</v>
      </c>
    </row>
    <row r="29" customFormat="false" ht="15" hidden="false" customHeight="true" outlineLevel="0" collapsed="false">
      <c r="A29" s="5" t="s">
        <v>57</v>
      </c>
      <c r="B29" s="5" t="s">
        <v>326</v>
      </c>
      <c r="C29" s="5" t="s">
        <v>76</v>
      </c>
      <c r="D29" s="6"/>
      <c r="E29" s="6" t="n">
        <v>110</v>
      </c>
      <c r="F29" s="6" t="n">
        <v>68796</v>
      </c>
    </row>
    <row r="30" customFormat="false" ht="15" hidden="false" customHeight="true" outlineLevel="0" collapsed="false">
      <c r="A30" s="5" t="s">
        <v>57</v>
      </c>
      <c r="B30" s="5" t="s">
        <v>327</v>
      </c>
      <c r="C30" s="5" t="s">
        <v>76</v>
      </c>
      <c r="D30" s="6"/>
      <c r="E30" s="6" t="n">
        <v>390</v>
      </c>
      <c r="F30" s="6" t="n">
        <v>69186</v>
      </c>
    </row>
    <row r="31" customFormat="false" ht="15" hidden="false" customHeight="true" outlineLevel="0" collapsed="false">
      <c r="A31" s="5" t="s">
        <v>57</v>
      </c>
      <c r="B31" s="5" t="s">
        <v>328</v>
      </c>
      <c r="C31" s="5" t="s">
        <v>76</v>
      </c>
      <c r="D31" s="6"/>
      <c r="E31" s="6" t="n">
        <v>120</v>
      </c>
      <c r="F31" s="6" t="n">
        <v>69306</v>
      </c>
    </row>
    <row r="32" customFormat="false" ht="15" hidden="false" customHeight="true" outlineLevel="0" collapsed="false">
      <c r="A32" s="5" t="s">
        <v>57</v>
      </c>
      <c r="B32" s="5" t="s">
        <v>329</v>
      </c>
      <c r="C32" s="5" t="s">
        <v>76</v>
      </c>
      <c r="D32" s="6"/>
      <c r="E32" s="6" t="n">
        <v>320</v>
      </c>
      <c r="F32" s="6" t="n">
        <v>69626</v>
      </c>
    </row>
    <row r="33" customFormat="false" ht="15" hidden="false" customHeight="true" outlineLevel="0" collapsed="false">
      <c r="A33" s="5" t="s">
        <v>57</v>
      </c>
      <c r="B33" s="5" t="s">
        <v>330</v>
      </c>
      <c r="C33" s="5" t="s">
        <v>76</v>
      </c>
      <c r="D33" s="6"/>
      <c r="E33" s="6" t="n">
        <v>80</v>
      </c>
      <c r="F33" s="6" t="n">
        <v>69706</v>
      </c>
    </row>
    <row r="34" customFormat="false" ht="15" hidden="false" customHeight="true" outlineLevel="0" collapsed="false">
      <c r="A34" s="5" t="s">
        <v>57</v>
      </c>
      <c r="B34" s="5" t="s">
        <v>331</v>
      </c>
      <c r="C34" s="5" t="s">
        <v>76</v>
      </c>
      <c r="D34" s="6"/>
      <c r="E34" s="6" t="n">
        <v>2720</v>
      </c>
      <c r="F34" s="6" t="n">
        <v>72426</v>
      </c>
    </row>
    <row r="35" customFormat="false" ht="15" hidden="false" customHeight="true" outlineLevel="0" collapsed="false">
      <c r="A35" s="5" t="s">
        <v>57</v>
      </c>
      <c r="B35" s="5" t="s">
        <v>332</v>
      </c>
      <c r="C35" s="5" t="s">
        <v>76</v>
      </c>
      <c r="D35" s="6"/>
      <c r="E35" s="6" t="n">
        <v>50</v>
      </c>
      <c r="F35" s="6" t="n">
        <v>72476</v>
      </c>
    </row>
    <row r="36" customFormat="false" ht="15" hidden="false" customHeight="true" outlineLevel="0" collapsed="false">
      <c r="A36" s="5" t="s">
        <v>57</v>
      </c>
      <c r="B36" s="5" t="s">
        <v>333</v>
      </c>
      <c r="C36" s="5" t="s">
        <v>76</v>
      </c>
      <c r="D36" s="6"/>
      <c r="E36" s="6" t="n">
        <v>130</v>
      </c>
      <c r="F36" s="6" t="n">
        <v>72606</v>
      </c>
    </row>
    <row r="37" customFormat="false" ht="15" hidden="false" customHeight="true" outlineLevel="0" collapsed="false">
      <c r="A37" s="5" t="s">
        <v>57</v>
      </c>
      <c r="B37" s="5" t="s">
        <v>334</v>
      </c>
      <c r="C37" s="5" t="s">
        <v>76</v>
      </c>
      <c r="D37" s="6"/>
      <c r="E37" s="6" t="n">
        <v>100</v>
      </c>
      <c r="F37" s="6" t="n">
        <v>72706</v>
      </c>
    </row>
    <row r="38" customFormat="false" ht="15" hidden="false" customHeight="true" outlineLevel="0" collapsed="false">
      <c r="A38" s="5" t="s">
        <v>57</v>
      </c>
      <c r="B38" s="5" t="s">
        <v>335</v>
      </c>
      <c r="C38" s="5" t="s">
        <v>76</v>
      </c>
      <c r="D38" s="6"/>
      <c r="E38" s="6" t="n">
        <v>160</v>
      </c>
      <c r="F38" s="6" t="n">
        <v>72866</v>
      </c>
    </row>
    <row r="39" customFormat="false" ht="15" hidden="false" customHeight="true" outlineLevel="0" collapsed="false">
      <c r="A39" s="5" t="s">
        <v>57</v>
      </c>
      <c r="B39" s="5" t="s">
        <v>336</v>
      </c>
      <c r="C39" s="5" t="s">
        <v>76</v>
      </c>
      <c r="D39" s="6"/>
      <c r="E39" s="6" t="n">
        <v>110</v>
      </c>
      <c r="F39" s="6" t="n">
        <v>72976</v>
      </c>
    </row>
    <row r="40" customFormat="false" ht="15" hidden="false" customHeight="true" outlineLevel="0" collapsed="false">
      <c r="A40" s="5" t="s">
        <v>58</v>
      </c>
      <c r="B40" s="5" t="s">
        <v>337</v>
      </c>
      <c r="C40" s="5" t="s">
        <v>76</v>
      </c>
      <c r="D40" s="6"/>
      <c r="E40" s="6" t="n">
        <v>260</v>
      </c>
      <c r="F40" s="6" t="n">
        <v>73236</v>
      </c>
    </row>
    <row r="41" customFormat="false" ht="15" hidden="false" customHeight="true" outlineLevel="0" collapsed="false">
      <c r="A41" s="5" t="s">
        <v>58</v>
      </c>
      <c r="B41" s="5" t="s">
        <v>338</v>
      </c>
      <c r="C41" s="5" t="s">
        <v>76</v>
      </c>
      <c r="D41" s="6"/>
      <c r="E41" s="6" t="n">
        <v>200</v>
      </c>
      <c r="F41" s="6" t="n">
        <v>73436</v>
      </c>
    </row>
    <row r="42" customFormat="false" ht="15" hidden="false" customHeight="true" outlineLevel="0" collapsed="false">
      <c r="A42" s="5" t="s">
        <v>58</v>
      </c>
      <c r="B42" s="5" t="s">
        <v>339</v>
      </c>
      <c r="C42" s="5" t="s">
        <v>76</v>
      </c>
      <c r="D42" s="6"/>
      <c r="E42" s="6" t="n">
        <v>120</v>
      </c>
      <c r="F42" s="6" t="n">
        <v>73556</v>
      </c>
    </row>
    <row r="43" customFormat="false" ht="15" hidden="false" customHeight="true" outlineLevel="0" collapsed="false">
      <c r="A43" s="5" t="s">
        <v>58</v>
      </c>
      <c r="B43" s="5" t="s">
        <v>340</v>
      </c>
      <c r="C43" s="5" t="s">
        <v>76</v>
      </c>
      <c r="D43" s="6"/>
      <c r="E43" s="6" t="n">
        <v>90</v>
      </c>
      <c r="F43" s="6" t="n">
        <v>73646</v>
      </c>
    </row>
    <row r="44" customFormat="false" ht="15" hidden="false" customHeight="true" outlineLevel="0" collapsed="false">
      <c r="A44" s="5" t="s">
        <v>58</v>
      </c>
      <c r="B44" s="5" t="s">
        <v>341</v>
      </c>
      <c r="C44" s="5" t="s">
        <v>76</v>
      </c>
      <c r="D44" s="6"/>
      <c r="E44" s="6" t="n">
        <v>110</v>
      </c>
      <c r="F44" s="6" t="n">
        <v>73756</v>
      </c>
    </row>
    <row r="45" customFormat="false" ht="15" hidden="false" customHeight="true" outlineLevel="0" collapsed="false">
      <c r="A45" s="5" t="s">
        <v>58</v>
      </c>
      <c r="B45" s="5" t="s">
        <v>342</v>
      </c>
      <c r="C45" s="5" t="s">
        <v>76</v>
      </c>
      <c r="D45" s="6"/>
      <c r="E45" s="6" t="n">
        <v>70</v>
      </c>
      <c r="F45" s="6" t="n">
        <v>73826</v>
      </c>
    </row>
    <row r="46" customFormat="false" ht="15" hidden="false" customHeight="true" outlineLevel="0" collapsed="false">
      <c r="A46" s="5" t="s">
        <v>58</v>
      </c>
      <c r="B46" s="5" t="s">
        <v>343</v>
      </c>
      <c r="C46" s="5" t="s">
        <v>76</v>
      </c>
      <c r="D46" s="6"/>
      <c r="E46" s="6" t="n">
        <v>160</v>
      </c>
      <c r="F46" s="6" t="n">
        <v>73986</v>
      </c>
    </row>
    <row r="47" customFormat="false" ht="15" hidden="false" customHeight="true" outlineLevel="0" collapsed="false">
      <c r="A47" s="5" t="s">
        <v>58</v>
      </c>
      <c r="B47" s="5" t="s">
        <v>344</v>
      </c>
      <c r="C47" s="5" t="s">
        <v>76</v>
      </c>
      <c r="D47" s="6"/>
      <c r="E47" s="6" t="n">
        <v>750</v>
      </c>
      <c r="F47" s="6" t="n">
        <v>74736</v>
      </c>
    </row>
    <row r="48" customFormat="false" ht="15" hidden="false" customHeight="true" outlineLevel="0" collapsed="false">
      <c r="A48" s="5" t="s">
        <v>58</v>
      </c>
      <c r="B48" s="5" t="s">
        <v>345</v>
      </c>
      <c r="C48" s="5" t="s">
        <v>76</v>
      </c>
      <c r="D48" s="6"/>
      <c r="E48" s="6" t="n">
        <v>80</v>
      </c>
      <c r="F48" s="6" t="n">
        <v>74816</v>
      </c>
    </row>
    <row r="49" customFormat="false" ht="15" hidden="false" customHeight="true" outlineLevel="0" collapsed="false">
      <c r="A49" s="5" t="s">
        <v>58</v>
      </c>
      <c r="B49" s="5" t="s">
        <v>346</v>
      </c>
      <c r="C49" s="5" t="s">
        <v>76</v>
      </c>
      <c r="D49" s="6"/>
      <c r="E49" s="6" t="n">
        <v>180</v>
      </c>
      <c r="F49" s="6" t="n">
        <v>74996</v>
      </c>
    </row>
    <row r="50" customFormat="false" ht="15" hidden="false" customHeight="true" outlineLevel="0" collapsed="false">
      <c r="A50" s="5" t="s">
        <v>58</v>
      </c>
      <c r="B50" s="5" t="s">
        <v>347</v>
      </c>
      <c r="C50" s="5" t="s">
        <v>76</v>
      </c>
      <c r="D50" s="6"/>
      <c r="E50" s="6" t="n">
        <v>400</v>
      </c>
      <c r="F50" s="6" t="n">
        <v>75396</v>
      </c>
    </row>
    <row r="51" customFormat="false" ht="15" hidden="false" customHeight="true" outlineLevel="0" collapsed="false">
      <c r="A51" s="5" t="s">
        <v>58</v>
      </c>
      <c r="B51" s="5" t="s">
        <v>348</v>
      </c>
      <c r="C51" s="5" t="s">
        <v>76</v>
      </c>
      <c r="D51" s="6"/>
      <c r="E51" s="6" t="n">
        <v>440</v>
      </c>
      <c r="F51" s="6" t="n">
        <v>75836</v>
      </c>
    </row>
    <row r="52" customFormat="false" ht="15" hidden="false" customHeight="true" outlineLevel="0" collapsed="false">
      <c r="A52" s="5" t="s">
        <v>58</v>
      </c>
      <c r="B52" s="5" t="s">
        <v>349</v>
      </c>
      <c r="C52" s="5" t="s">
        <v>76</v>
      </c>
      <c r="D52" s="6"/>
      <c r="E52" s="6" t="n">
        <v>120</v>
      </c>
      <c r="F52" s="6" t="n">
        <v>75956</v>
      </c>
    </row>
    <row r="53" customFormat="false" ht="15" hidden="false" customHeight="true" outlineLevel="0" collapsed="false">
      <c r="A53" s="5" t="s">
        <v>58</v>
      </c>
      <c r="B53" s="5" t="s">
        <v>350</v>
      </c>
      <c r="C53" s="5" t="s">
        <v>76</v>
      </c>
      <c r="D53" s="6"/>
      <c r="E53" s="6" t="n">
        <v>120</v>
      </c>
      <c r="F53" s="6" t="n">
        <v>76076</v>
      </c>
    </row>
    <row r="54" customFormat="false" ht="15" hidden="false" customHeight="true" outlineLevel="0" collapsed="false">
      <c r="A54" s="5" t="s">
        <v>58</v>
      </c>
      <c r="B54" s="5" t="s">
        <v>351</v>
      </c>
      <c r="C54" s="5" t="s">
        <v>76</v>
      </c>
      <c r="D54" s="6"/>
      <c r="E54" s="6" t="n">
        <v>200</v>
      </c>
      <c r="F54" s="6" t="n">
        <v>76276</v>
      </c>
    </row>
    <row r="55" customFormat="false" ht="15" hidden="false" customHeight="true" outlineLevel="0" collapsed="false">
      <c r="A55" s="5" t="s">
        <v>59</v>
      </c>
      <c r="B55" s="5" t="s">
        <v>352</v>
      </c>
      <c r="C55" s="5" t="s">
        <v>76</v>
      </c>
      <c r="D55" s="6"/>
      <c r="E55" s="6" t="n">
        <v>150</v>
      </c>
      <c r="F55" s="6" t="n">
        <v>76426</v>
      </c>
    </row>
    <row r="56" customFormat="false" ht="15" hidden="false" customHeight="true" outlineLevel="0" collapsed="false">
      <c r="A56" s="5" t="s">
        <v>59</v>
      </c>
      <c r="B56" s="5" t="s">
        <v>353</v>
      </c>
      <c r="C56" s="5" t="s">
        <v>76</v>
      </c>
      <c r="D56" s="6"/>
      <c r="E56" s="6" t="n">
        <v>220</v>
      </c>
      <c r="F56" s="6" t="n">
        <v>76646</v>
      </c>
    </row>
    <row r="57" customFormat="false" ht="15" hidden="false" customHeight="true" outlineLevel="0" collapsed="false">
      <c r="A57" s="5" t="s">
        <v>59</v>
      </c>
      <c r="B57" s="5" t="s">
        <v>354</v>
      </c>
      <c r="C57" s="5" t="s">
        <v>76</v>
      </c>
      <c r="D57" s="6"/>
      <c r="E57" s="6" t="n">
        <v>45</v>
      </c>
      <c r="F57" s="6" t="n">
        <v>76691</v>
      </c>
    </row>
    <row r="58" customFormat="false" ht="15" hidden="false" customHeight="true" outlineLevel="0" collapsed="false">
      <c r="A58" s="5" t="s">
        <v>59</v>
      </c>
      <c r="B58" s="5" t="s">
        <v>355</v>
      </c>
      <c r="C58" s="5" t="s">
        <v>76</v>
      </c>
      <c r="D58" s="6"/>
      <c r="E58" s="6" t="n">
        <v>500</v>
      </c>
      <c r="F58" s="6" t="n">
        <v>77191</v>
      </c>
    </row>
    <row r="59" customFormat="false" ht="15" hidden="false" customHeight="true" outlineLevel="0" collapsed="false">
      <c r="A59" s="5" t="s">
        <v>59</v>
      </c>
      <c r="B59" s="5" t="s">
        <v>356</v>
      </c>
      <c r="C59" s="5" t="s">
        <v>76</v>
      </c>
      <c r="D59" s="6" t="n">
        <v>1</v>
      </c>
      <c r="E59" s="6"/>
      <c r="F59" s="6" t="n">
        <v>77190</v>
      </c>
    </row>
    <row r="60" customFormat="false" ht="15" hidden="false" customHeight="true" outlineLevel="0" collapsed="false">
      <c r="A60" s="5" t="s">
        <v>59</v>
      </c>
      <c r="B60" s="5" t="s">
        <v>357</v>
      </c>
      <c r="C60" s="5" t="s">
        <v>76</v>
      </c>
      <c r="D60" s="6" t="n">
        <v>40</v>
      </c>
      <c r="E60" s="6"/>
      <c r="F60" s="6" t="n">
        <v>77150</v>
      </c>
    </row>
    <row r="61" customFormat="false" ht="15" hidden="false" customHeight="true" outlineLevel="0" collapsed="false">
      <c r="A61" s="5" t="s">
        <v>59</v>
      </c>
      <c r="B61" s="5" t="s">
        <v>358</v>
      </c>
      <c r="C61" s="5" t="s">
        <v>76</v>
      </c>
      <c r="D61" s="6"/>
      <c r="E61" s="6" t="n">
        <v>100</v>
      </c>
      <c r="F61" s="6" t="n">
        <v>77250</v>
      </c>
    </row>
    <row r="62" customFormat="false" ht="15" hidden="false" customHeight="true" outlineLevel="0" collapsed="false">
      <c r="A62" s="5" t="s">
        <v>59</v>
      </c>
      <c r="B62" s="5" t="s">
        <v>359</v>
      </c>
      <c r="C62" s="5" t="s">
        <v>76</v>
      </c>
      <c r="D62" s="6" t="n">
        <v>50</v>
      </c>
      <c r="E62" s="6"/>
      <c r="F62" s="6" t="n">
        <v>77200</v>
      </c>
    </row>
    <row r="63" customFormat="false" ht="15" hidden="false" customHeight="true" outlineLevel="0" collapsed="false">
      <c r="A63" s="5" t="s">
        <v>59</v>
      </c>
      <c r="B63" s="5" t="s">
        <v>360</v>
      </c>
      <c r="C63" s="5" t="s">
        <v>76</v>
      </c>
      <c r="D63" s="6" t="n">
        <v>140</v>
      </c>
      <c r="E63" s="6"/>
      <c r="F63" s="6" t="n">
        <v>77060</v>
      </c>
    </row>
    <row r="64" customFormat="false" ht="15" hidden="false" customHeight="true" outlineLevel="0" collapsed="false">
      <c r="A64" s="5" t="s">
        <v>59</v>
      </c>
      <c r="B64" s="5" t="s">
        <v>361</v>
      </c>
      <c r="C64" s="5" t="s">
        <v>76</v>
      </c>
      <c r="D64" s="6"/>
      <c r="E64" s="6" t="n">
        <v>110</v>
      </c>
      <c r="F64" s="6" t="n">
        <v>77170</v>
      </c>
    </row>
    <row r="65" customFormat="false" ht="15" hidden="false" customHeight="true" outlineLevel="0" collapsed="false">
      <c r="A65" s="5" t="s">
        <v>59</v>
      </c>
      <c r="B65" s="5" t="s">
        <v>362</v>
      </c>
      <c r="C65" s="5" t="s">
        <v>76</v>
      </c>
      <c r="D65" s="6"/>
      <c r="E65" s="6" t="n">
        <v>120</v>
      </c>
      <c r="F65" s="6" t="n">
        <v>77290</v>
      </c>
    </row>
    <row r="66" customFormat="false" ht="15" hidden="false" customHeight="true" outlineLevel="0" collapsed="false">
      <c r="A66" s="5" t="s">
        <v>59</v>
      </c>
      <c r="B66" s="5" t="s">
        <v>363</v>
      </c>
      <c r="C66" s="5" t="s">
        <v>76</v>
      </c>
      <c r="D66" s="6"/>
      <c r="E66" s="6" t="n">
        <v>180</v>
      </c>
      <c r="F66" s="6" t="n">
        <v>77470</v>
      </c>
    </row>
    <row r="67" customFormat="false" ht="15" hidden="false" customHeight="true" outlineLevel="0" collapsed="false">
      <c r="A67" s="5" t="s">
        <v>59</v>
      </c>
      <c r="B67" s="5" t="s">
        <v>364</v>
      </c>
      <c r="C67" s="5" t="s">
        <v>76</v>
      </c>
      <c r="D67" s="6"/>
      <c r="E67" s="6" t="n">
        <v>170</v>
      </c>
      <c r="F67" s="6" t="n">
        <v>77640</v>
      </c>
    </row>
    <row r="68" customFormat="false" ht="15" hidden="false" customHeight="true" outlineLevel="0" collapsed="false">
      <c r="A68" s="5" t="s">
        <v>59</v>
      </c>
      <c r="B68" s="5" t="s">
        <v>365</v>
      </c>
      <c r="C68" s="5" t="s">
        <v>76</v>
      </c>
      <c r="D68" s="6"/>
      <c r="E68" s="6" t="n">
        <v>90</v>
      </c>
      <c r="F68" s="6" t="n">
        <v>77730</v>
      </c>
    </row>
    <row r="69" customFormat="false" ht="15" hidden="false" customHeight="true" outlineLevel="0" collapsed="false">
      <c r="A69" s="5" t="s">
        <v>59</v>
      </c>
      <c r="B69" s="5" t="s">
        <v>366</v>
      </c>
      <c r="C69" s="5" t="s">
        <v>76</v>
      </c>
      <c r="D69" s="6"/>
      <c r="E69" s="6" t="n">
        <v>80</v>
      </c>
      <c r="F69" s="6" t="n">
        <v>77810</v>
      </c>
    </row>
    <row r="70" customFormat="false" ht="15" hidden="false" customHeight="true" outlineLevel="0" collapsed="false">
      <c r="A70" s="5" t="s">
        <v>59</v>
      </c>
      <c r="B70" s="5" t="s">
        <v>367</v>
      </c>
      <c r="C70" s="5" t="s">
        <v>76</v>
      </c>
      <c r="D70" s="6"/>
      <c r="E70" s="6" t="n">
        <v>220</v>
      </c>
      <c r="F70" s="6" t="n">
        <v>78030</v>
      </c>
    </row>
    <row r="71" customFormat="false" ht="15" hidden="false" customHeight="true" outlineLevel="0" collapsed="false">
      <c r="A71" s="5" t="s">
        <v>59</v>
      </c>
      <c r="B71" s="5" t="s">
        <v>368</v>
      </c>
      <c r="C71" s="5" t="s">
        <v>76</v>
      </c>
      <c r="D71" s="6"/>
      <c r="E71" s="6" t="n">
        <v>500</v>
      </c>
      <c r="F71" s="6" t="n">
        <v>78530</v>
      </c>
    </row>
    <row r="72" customFormat="false" ht="15" hidden="false" customHeight="true" outlineLevel="0" collapsed="false">
      <c r="A72" s="5" t="s">
        <v>59</v>
      </c>
      <c r="B72" s="5" t="s">
        <v>369</v>
      </c>
      <c r="C72" s="5" t="s">
        <v>76</v>
      </c>
      <c r="D72" s="6"/>
      <c r="E72" s="6" t="n">
        <v>250</v>
      </c>
      <c r="F72" s="6" t="n">
        <v>78780</v>
      </c>
    </row>
    <row r="73" customFormat="false" ht="15" hidden="false" customHeight="true" outlineLevel="0" collapsed="false">
      <c r="A73" s="5" t="s">
        <v>60</v>
      </c>
      <c r="B73" s="5" t="s">
        <v>370</v>
      </c>
      <c r="C73" s="5" t="s">
        <v>76</v>
      </c>
      <c r="D73" s="6"/>
      <c r="E73" s="6" t="n">
        <v>260</v>
      </c>
      <c r="F73" s="6" t="n">
        <v>79040</v>
      </c>
    </row>
    <row r="74" customFormat="false" ht="15" hidden="false" customHeight="true" outlineLevel="0" collapsed="false">
      <c r="A74" s="5" t="s">
        <v>60</v>
      </c>
      <c r="B74" s="5" t="s">
        <v>371</v>
      </c>
      <c r="C74" s="5" t="s">
        <v>76</v>
      </c>
      <c r="D74" s="6" t="n">
        <v>50</v>
      </c>
      <c r="E74" s="6"/>
      <c r="F74" s="6" t="n">
        <v>78990</v>
      </c>
    </row>
    <row r="75" customFormat="false" ht="15" hidden="false" customHeight="true" outlineLevel="0" collapsed="false">
      <c r="A75" s="5" t="s">
        <v>60</v>
      </c>
      <c r="B75" s="5" t="s">
        <v>372</v>
      </c>
      <c r="C75" s="5" t="s">
        <v>76</v>
      </c>
      <c r="D75" s="6"/>
      <c r="E75" s="6" t="n">
        <v>160</v>
      </c>
      <c r="F75" s="6" t="n">
        <v>79150</v>
      </c>
    </row>
    <row r="76" customFormat="false" ht="15" hidden="false" customHeight="true" outlineLevel="0" collapsed="false">
      <c r="A76" s="5" t="s">
        <v>60</v>
      </c>
      <c r="B76" s="5" t="s">
        <v>373</v>
      </c>
      <c r="C76" s="5" t="s">
        <v>76</v>
      </c>
      <c r="D76" s="6"/>
      <c r="E76" s="6" t="n">
        <v>80</v>
      </c>
      <c r="F76" s="6" t="n">
        <v>79230</v>
      </c>
    </row>
    <row r="77" customFormat="false" ht="15" hidden="false" customHeight="true" outlineLevel="0" collapsed="false">
      <c r="A77" s="5" t="s">
        <v>60</v>
      </c>
      <c r="B77" s="5" t="s">
        <v>374</v>
      </c>
      <c r="C77" s="5" t="s">
        <v>76</v>
      </c>
      <c r="D77" s="6"/>
      <c r="E77" s="6" t="n">
        <v>150</v>
      </c>
      <c r="F77" s="6" t="n">
        <v>79380</v>
      </c>
    </row>
    <row r="78" customFormat="false" ht="15" hidden="false" customHeight="true" outlineLevel="0" collapsed="false">
      <c r="A78" s="5" t="s">
        <v>60</v>
      </c>
      <c r="B78" s="5" t="s">
        <v>375</v>
      </c>
      <c r="C78" s="5" t="s">
        <v>76</v>
      </c>
      <c r="D78" s="6"/>
      <c r="E78" s="6" t="n">
        <v>90</v>
      </c>
      <c r="F78" s="6" t="n">
        <v>79470</v>
      </c>
    </row>
    <row r="79" customFormat="false" ht="15" hidden="false" customHeight="true" outlineLevel="0" collapsed="false">
      <c r="A79" s="5" t="s">
        <v>60</v>
      </c>
      <c r="B79" s="5" t="s">
        <v>376</v>
      </c>
      <c r="C79" s="5" t="s">
        <v>76</v>
      </c>
      <c r="D79" s="6"/>
      <c r="E79" s="6" t="n">
        <v>160</v>
      </c>
      <c r="F79" s="6" t="n">
        <v>79630</v>
      </c>
    </row>
    <row r="80" customFormat="false" ht="15" hidden="false" customHeight="true" outlineLevel="0" collapsed="false">
      <c r="A80" s="5" t="s">
        <v>60</v>
      </c>
      <c r="B80" s="5" t="s">
        <v>377</v>
      </c>
      <c r="C80" s="5" t="s">
        <v>76</v>
      </c>
      <c r="D80" s="6"/>
      <c r="E80" s="6" t="n">
        <v>5200</v>
      </c>
      <c r="F80" s="6" t="n">
        <v>84830</v>
      </c>
    </row>
    <row r="81" customFormat="false" ht="15" hidden="false" customHeight="true" outlineLevel="0" collapsed="false">
      <c r="A81" s="5" t="s">
        <v>60</v>
      </c>
      <c r="B81" s="5" t="s">
        <v>378</v>
      </c>
      <c r="C81" s="5" t="s">
        <v>76</v>
      </c>
      <c r="D81" s="6"/>
      <c r="E81" s="6" t="n">
        <v>200</v>
      </c>
      <c r="F81" s="6" t="n">
        <v>85030</v>
      </c>
    </row>
    <row r="82" customFormat="false" ht="15" hidden="false" customHeight="true" outlineLevel="0" collapsed="false">
      <c r="A82" s="5" t="s">
        <v>60</v>
      </c>
      <c r="B82" s="5" t="s">
        <v>379</v>
      </c>
      <c r="C82" s="5" t="s">
        <v>76</v>
      </c>
      <c r="D82" s="6"/>
      <c r="E82" s="6" t="n">
        <v>80</v>
      </c>
      <c r="F82" s="6" t="n">
        <v>85110</v>
      </c>
    </row>
    <row r="83" customFormat="false" ht="15" hidden="false" customHeight="true" outlineLevel="0" collapsed="false">
      <c r="A83" s="5" t="s">
        <v>60</v>
      </c>
      <c r="B83" s="5" t="s">
        <v>380</v>
      </c>
      <c r="C83" s="5" t="s">
        <v>76</v>
      </c>
      <c r="D83" s="6"/>
      <c r="E83" s="6" t="n">
        <v>80</v>
      </c>
      <c r="F83" s="6" t="n">
        <v>85190</v>
      </c>
    </row>
    <row r="84" customFormat="false" ht="15" hidden="false" customHeight="true" outlineLevel="0" collapsed="false">
      <c r="A84" s="5" t="s">
        <v>60</v>
      </c>
      <c r="B84" s="5" t="s">
        <v>381</v>
      </c>
      <c r="C84" s="5" t="s">
        <v>76</v>
      </c>
      <c r="D84" s="6"/>
      <c r="E84" s="6" t="n">
        <v>80</v>
      </c>
      <c r="F84" s="6" t="n">
        <v>85270</v>
      </c>
    </row>
    <row r="85" customFormat="false" ht="15" hidden="false" customHeight="true" outlineLevel="0" collapsed="false">
      <c r="A85" s="5" t="s">
        <v>60</v>
      </c>
      <c r="B85" s="5" t="s">
        <v>382</v>
      </c>
      <c r="C85" s="5" t="s">
        <v>76</v>
      </c>
      <c r="D85" s="6"/>
      <c r="E85" s="6" t="n">
        <v>250</v>
      </c>
      <c r="F85" s="6" t="n">
        <v>85520</v>
      </c>
    </row>
    <row r="86" customFormat="false" ht="15" hidden="false" customHeight="true" outlineLevel="0" collapsed="false">
      <c r="A86" s="5" t="s">
        <v>60</v>
      </c>
      <c r="B86" s="5" t="s">
        <v>383</v>
      </c>
      <c r="C86" s="5" t="s">
        <v>76</v>
      </c>
      <c r="D86" s="6"/>
      <c r="E86" s="6" t="n">
        <v>240</v>
      </c>
      <c r="F86" s="6" t="n">
        <v>85760</v>
      </c>
    </row>
    <row r="87" customFormat="false" ht="15" hidden="false" customHeight="true" outlineLevel="0" collapsed="false">
      <c r="A87" s="5" t="s">
        <v>60</v>
      </c>
      <c r="B87" s="5" t="s">
        <v>384</v>
      </c>
      <c r="C87" s="5" t="s">
        <v>76</v>
      </c>
      <c r="D87" s="6"/>
      <c r="E87" s="6" t="n">
        <v>230</v>
      </c>
      <c r="F87" s="6" t="n">
        <v>85990</v>
      </c>
    </row>
    <row r="88" customFormat="false" ht="15" hidden="false" customHeight="true" outlineLevel="0" collapsed="false">
      <c r="A88" s="5" t="s">
        <v>60</v>
      </c>
      <c r="B88" s="5" t="s">
        <v>385</v>
      </c>
      <c r="C88" s="5" t="s">
        <v>76</v>
      </c>
      <c r="D88" s="6"/>
      <c r="E88" s="6" t="n">
        <v>100</v>
      </c>
      <c r="F88" s="6" t="n">
        <v>86090</v>
      </c>
    </row>
    <row r="89" customFormat="false" ht="15" hidden="false" customHeight="true" outlineLevel="0" collapsed="false">
      <c r="A89" s="5" t="s">
        <v>60</v>
      </c>
      <c r="B89" s="5" t="s">
        <v>386</v>
      </c>
      <c r="C89" s="5" t="s">
        <v>76</v>
      </c>
      <c r="D89" s="6"/>
      <c r="E89" s="6" t="n">
        <v>130</v>
      </c>
      <c r="F89" s="6" t="n">
        <v>86220</v>
      </c>
    </row>
    <row r="90" customFormat="false" ht="15" hidden="false" customHeight="true" outlineLevel="0" collapsed="false">
      <c r="A90" s="5" t="s">
        <v>60</v>
      </c>
      <c r="B90" s="5" t="s">
        <v>387</v>
      </c>
      <c r="C90" s="5" t="s">
        <v>76</v>
      </c>
      <c r="D90" s="6"/>
      <c r="E90" s="6" t="n">
        <v>300</v>
      </c>
      <c r="F90" s="6" t="n">
        <v>86520</v>
      </c>
    </row>
    <row r="91" customFormat="false" ht="15" hidden="false" customHeight="true" outlineLevel="0" collapsed="false">
      <c r="A91" s="5" t="s">
        <v>60</v>
      </c>
      <c r="B91" s="5" t="s">
        <v>388</v>
      </c>
      <c r="C91" s="5" t="s">
        <v>76</v>
      </c>
      <c r="D91" s="6"/>
      <c r="E91" s="6" t="n">
        <v>100</v>
      </c>
      <c r="F91" s="6" t="n">
        <v>86620</v>
      </c>
    </row>
    <row r="92" customFormat="false" ht="15" hidden="false" customHeight="true" outlineLevel="0" collapsed="false">
      <c r="A92" s="5" t="s">
        <v>60</v>
      </c>
      <c r="B92" s="5" t="s">
        <v>389</v>
      </c>
      <c r="C92" s="5" t="s">
        <v>76</v>
      </c>
      <c r="D92" s="6"/>
      <c r="E92" s="6" t="n">
        <v>450</v>
      </c>
      <c r="F92" s="6" t="n">
        <v>87070</v>
      </c>
    </row>
    <row r="93" customFormat="false" ht="15" hidden="false" customHeight="true" outlineLevel="0" collapsed="false">
      <c r="A93" s="5" t="s">
        <v>60</v>
      </c>
      <c r="B93" s="5" t="s">
        <v>390</v>
      </c>
      <c r="C93" s="5" t="s">
        <v>83</v>
      </c>
      <c r="D93" s="6" t="n">
        <v>1.23</v>
      </c>
      <c r="E93" s="6"/>
      <c r="F93" s="6" t="n">
        <v>87068.77</v>
      </c>
    </row>
    <row r="94" customFormat="false" ht="15" hidden="false" customHeight="true" outlineLevel="0" collapsed="false">
      <c r="A94" s="5" t="s">
        <v>60</v>
      </c>
      <c r="B94" s="5" t="s">
        <v>391</v>
      </c>
      <c r="C94" s="5" t="s">
        <v>76</v>
      </c>
      <c r="D94" s="6"/>
      <c r="E94" s="6" t="n">
        <v>30</v>
      </c>
      <c r="F94" s="6" t="n">
        <v>87098.77</v>
      </c>
    </row>
    <row r="95" customFormat="false" ht="15" hidden="false" customHeight="true" outlineLevel="0" collapsed="false">
      <c r="A95" s="5" t="s">
        <v>60</v>
      </c>
      <c r="B95" s="5" t="s">
        <v>392</v>
      </c>
      <c r="C95" s="5" t="s">
        <v>76</v>
      </c>
      <c r="D95" s="6"/>
      <c r="E95" s="6" t="n">
        <v>50</v>
      </c>
      <c r="F95" s="6" t="n">
        <v>87148.77</v>
      </c>
    </row>
    <row r="96" customFormat="false" ht="15" hidden="false" customHeight="true" outlineLevel="0" collapsed="false">
      <c r="A96" s="5" t="s">
        <v>60</v>
      </c>
      <c r="B96" s="5" t="s">
        <v>393</v>
      </c>
      <c r="C96" s="5" t="s">
        <v>76</v>
      </c>
      <c r="D96" s="6"/>
      <c r="E96" s="6" t="n">
        <v>180</v>
      </c>
      <c r="F96" s="6" t="n">
        <v>87328.77</v>
      </c>
    </row>
    <row r="97" customFormat="false" ht="15" hidden="false" customHeight="true" outlineLevel="0" collapsed="false">
      <c r="A97" s="5" t="s">
        <v>60</v>
      </c>
      <c r="B97" s="5" t="s">
        <v>394</v>
      </c>
      <c r="C97" s="5" t="s">
        <v>76</v>
      </c>
      <c r="D97" s="6"/>
      <c r="E97" s="6" t="n">
        <v>160</v>
      </c>
      <c r="F97" s="6" t="n">
        <v>87488.77</v>
      </c>
    </row>
    <row r="98" customFormat="false" ht="15" hidden="false" customHeight="true" outlineLevel="0" collapsed="false">
      <c r="A98" s="5" t="s">
        <v>60</v>
      </c>
      <c r="B98" s="5" t="s">
        <v>395</v>
      </c>
      <c r="C98" s="5" t="s">
        <v>76</v>
      </c>
      <c r="D98" s="6"/>
      <c r="E98" s="6" t="n">
        <v>320</v>
      </c>
      <c r="F98" s="6" t="n">
        <v>87808.77</v>
      </c>
    </row>
    <row r="99" customFormat="false" ht="15" hidden="false" customHeight="true" outlineLevel="0" collapsed="false">
      <c r="A99" s="5" t="s">
        <v>60</v>
      </c>
      <c r="B99" s="5" t="s">
        <v>396</v>
      </c>
      <c r="C99" s="5" t="s">
        <v>76</v>
      </c>
      <c r="D99" s="6"/>
      <c r="E99" s="6" t="n">
        <v>50</v>
      </c>
      <c r="F99" s="6" t="n">
        <v>87858.77</v>
      </c>
    </row>
    <row r="100" customFormat="false" ht="15" hidden="false" customHeight="true" outlineLevel="0" collapsed="false">
      <c r="A100" s="5" t="s">
        <v>60</v>
      </c>
      <c r="B100" s="5" t="s">
        <v>397</v>
      </c>
      <c r="C100" s="5" t="s">
        <v>76</v>
      </c>
      <c r="D100" s="6"/>
      <c r="E100" s="6" t="n">
        <v>80</v>
      </c>
      <c r="F100" s="6" t="n">
        <v>87938.77</v>
      </c>
    </row>
    <row r="101" customFormat="false" ht="15" hidden="false" customHeight="true" outlineLevel="0" collapsed="false">
      <c r="A101" s="5" t="s">
        <v>60</v>
      </c>
      <c r="B101" s="5" t="s">
        <v>398</v>
      </c>
      <c r="C101" s="5" t="s">
        <v>76</v>
      </c>
      <c r="D101" s="6"/>
      <c r="E101" s="6" t="n">
        <v>160</v>
      </c>
      <c r="F101" s="6" t="n">
        <v>88098.77</v>
      </c>
    </row>
    <row r="102" customFormat="false" ht="15" hidden="false" customHeight="true" outlineLevel="0" collapsed="false">
      <c r="A102" s="5" t="s">
        <v>60</v>
      </c>
      <c r="B102" s="5" t="s">
        <v>399</v>
      </c>
      <c r="C102" s="5" t="s">
        <v>76</v>
      </c>
      <c r="D102" s="6"/>
      <c r="E102" s="6" t="n">
        <v>100</v>
      </c>
      <c r="F102" s="6" t="n">
        <v>88198.77</v>
      </c>
    </row>
    <row r="103" customFormat="false" ht="15" hidden="false" customHeight="true" outlineLevel="0" collapsed="false">
      <c r="A103" s="5" t="s">
        <v>60</v>
      </c>
      <c r="B103" s="5" t="s">
        <v>400</v>
      </c>
      <c r="C103" s="5" t="s">
        <v>76</v>
      </c>
      <c r="D103" s="6"/>
      <c r="E103" s="6" t="n">
        <v>1330</v>
      </c>
      <c r="F103" s="6" t="n">
        <v>89528.77</v>
      </c>
    </row>
    <row r="104" customFormat="false" ht="15" hidden="false" customHeight="true" outlineLevel="0" collapsed="false">
      <c r="A104" s="5" t="s">
        <v>61</v>
      </c>
      <c r="B104" s="5" t="s">
        <v>401</v>
      </c>
      <c r="C104" s="5" t="s">
        <v>76</v>
      </c>
      <c r="D104" s="6"/>
      <c r="E104" s="6" t="n">
        <v>180</v>
      </c>
      <c r="F104" s="6" t="n">
        <v>89708.77</v>
      </c>
    </row>
    <row r="105" customFormat="false" ht="15" hidden="false" customHeight="true" outlineLevel="0" collapsed="false">
      <c r="A105" s="5" t="s">
        <v>61</v>
      </c>
      <c r="B105" s="5" t="s">
        <v>402</v>
      </c>
      <c r="C105" s="5" t="s">
        <v>76</v>
      </c>
      <c r="D105" s="6" t="n">
        <v>200.9</v>
      </c>
      <c r="E105" s="6"/>
      <c r="F105" s="6" t="n">
        <v>89507.87</v>
      </c>
    </row>
    <row r="106" customFormat="false" ht="15" hidden="false" customHeight="true" outlineLevel="0" collapsed="false">
      <c r="A106" s="5" t="s">
        <v>61</v>
      </c>
      <c r="B106" s="5" t="s">
        <v>403</v>
      </c>
      <c r="C106" s="5" t="s">
        <v>76</v>
      </c>
      <c r="D106" s="6" t="n">
        <v>400</v>
      </c>
      <c r="E106" s="6"/>
      <c r="F106" s="6" t="n">
        <v>89107.87</v>
      </c>
    </row>
    <row r="107" customFormat="false" ht="15" hidden="false" customHeight="true" outlineLevel="0" collapsed="false">
      <c r="A107" s="5" t="s">
        <v>61</v>
      </c>
      <c r="B107" s="5" t="s">
        <v>404</v>
      </c>
      <c r="C107" s="5" t="s">
        <v>76</v>
      </c>
      <c r="D107" s="6"/>
      <c r="E107" s="6" t="n">
        <v>55</v>
      </c>
      <c r="F107" s="6" t="n">
        <v>89162.87</v>
      </c>
    </row>
    <row r="108" customFormat="false" ht="15" hidden="false" customHeight="true" outlineLevel="0" collapsed="false">
      <c r="A108" s="5" t="s">
        <v>61</v>
      </c>
      <c r="B108" s="5" t="s">
        <v>405</v>
      </c>
      <c r="C108" s="5" t="s">
        <v>76</v>
      </c>
      <c r="D108" s="6"/>
      <c r="E108" s="6" t="n">
        <v>110</v>
      </c>
      <c r="F108" s="6" t="n">
        <v>89272.87</v>
      </c>
    </row>
    <row r="109" customFormat="false" ht="15" hidden="false" customHeight="true" outlineLevel="0" collapsed="false">
      <c r="A109" s="5" t="s">
        <v>61</v>
      </c>
      <c r="B109" s="5" t="s">
        <v>406</v>
      </c>
      <c r="C109" s="5" t="s">
        <v>76</v>
      </c>
      <c r="D109" s="6" t="n">
        <v>4620</v>
      </c>
      <c r="E109" s="6"/>
      <c r="F109" s="6" t="n">
        <v>84652.87</v>
      </c>
    </row>
    <row r="110" customFormat="false" ht="15" hidden="false" customHeight="true" outlineLevel="0" collapsed="false">
      <c r="A110" s="5" t="s">
        <v>61</v>
      </c>
      <c r="B110" s="5" t="s">
        <v>407</v>
      </c>
      <c r="C110" s="5" t="s">
        <v>76</v>
      </c>
      <c r="D110" s="6"/>
      <c r="E110" s="6" t="n">
        <v>200</v>
      </c>
      <c r="F110" s="6" t="n">
        <v>84852.87</v>
      </c>
    </row>
    <row r="111" customFormat="false" ht="15" hidden="false" customHeight="true" outlineLevel="0" collapsed="false">
      <c r="A111" s="5" t="s">
        <v>61</v>
      </c>
      <c r="B111" s="5" t="s">
        <v>408</v>
      </c>
      <c r="C111" s="5" t="s">
        <v>83</v>
      </c>
      <c r="D111" s="6" t="n">
        <v>3.53</v>
      </c>
      <c r="E111" s="6"/>
      <c r="F111" s="6" t="n">
        <v>84849.34</v>
      </c>
    </row>
    <row r="112" customFormat="false" ht="15" hidden="false" customHeight="true" outlineLevel="0" collapsed="false">
      <c r="A112" s="5" t="s">
        <v>61</v>
      </c>
      <c r="B112" s="5" t="s">
        <v>409</v>
      </c>
      <c r="C112" s="5" t="s">
        <v>76</v>
      </c>
      <c r="D112" s="6"/>
      <c r="E112" s="6" t="n">
        <v>30</v>
      </c>
      <c r="F112" s="6" t="n">
        <v>84879.34</v>
      </c>
    </row>
    <row r="113" customFormat="false" ht="15" hidden="false" customHeight="true" outlineLevel="0" collapsed="false">
      <c r="A113" s="5" t="s">
        <v>61</v>
      </c>
      <c r="B113" s="5" t="s">
        <v>410</v>
      </c>
      <c r="C113" s="5" t="s">
        <v>76</v>
      </c>
      <c r="D113" s="6"/>
      <c r="E113" s="6" t="n">
        <v>95</v>
      </c>
      <c r="F113" s="6" t="n">
        <v>84974.34</v>
      </c>
    </row>
    <row r="114" customFormat="false" ht="15" hidden="false" customHeight="true" outlineLevel="0" collapsed="false">
      <c r="A114" s="5" t="s">
        <v>61</v>
      </c>
      <c r="B114" s="5" t="s">
        <v>411</v>
      </c>
      <c r="C114" s="5" t="s">
        <v>76</v>
      </c>
      <c r="D114" s="6"/>
      <c r="E114" s="6" t="n">
        <v>930</v>
      </c>
      <c r="F114" s="6" t="n">
        <v>85904.34</v>
      </c>
    </row>
    <row r="115" customFormat="false" ht="15" hidden="false" customHeight="true" outlineLevel="0" collapsed="false">
      <c r="A115" s="5" t="s">
        <v>61</v>
      </c>
      <c r="B115" s="5" t="s">
        <v>412</v>
      </c>
      <c r="C115" s="5" t="s">
        <v>76</v>
      </c>
      <c r="D115" s="6" t="n">
        <v>151.9</v>
      </c>
      <c r="E115" s="6"/>
      <c r="F115" s="6" t="n">
        <v>85752.44</v>
      </c>
    </row>
    <row r="116" customFormat="false" ht="15" hidden="false" customHeight="true" outlineLevel="0" collapsed="false">
      <c r="A116" s="5" t="s">
        <v>61</v>
      </c>
      <c r="B116" s="5" t="s">
        <v>413</v>
      </c>
      <c r="C116" s="5" t="s">
        <v>76</v>
      </c>
      <c r="D116" s="6"/>
      <c r="E116" s="6" t="n">
        <v>120</v>
      </c>
      <c r="F116" s="6" t="n">
        <v>85872.44</v>
      </c>
    </row>
    <row r="117" customFormat="false" ht="15" hidden="false" customHeight="true" outlineLevel="0" collapsed="false">
      <c r="A117" s="5" t="s">
        <v>61</v>
      </c>
      <c r="B117" s="5" t="s">
        <v>414</v>
      </c>
      <c r="C117" s="5" t="s">
        <v>76</v>
      </c>
      <c r="D117" s="6" t="n">
        <v>40</v>
      </c>
      <c r="E117" s="6"/>
      <c r="F117" s="6" t="n">
        <v>85832.44</v>
      </c>
    </row>
    <row r="118" customFormat="false" ht="15" hidden="false" customHeight="true" outlineLevel="0" collapsed="false">
      <c r="A118" s="5" t="s">
        <v>61</v>
      </c>
      <c r="B118" s="5" t="s">
        <v>415</v>
      </c>
      <c r="C118" s="5" t="s">
        <v>76</v>
      </c>
      <c r="D118" s="6"/>
      <c r="E118" s="6" t="n">
        <v>160</v>
      </c>
      <c r="F118" s="6" t="n">
        <v>85992.44</v>
      </c>
    </row>
    <row r="119" customFormat="false" ht="15" hidden="false" customHeight="true" outlineLevel="0" collapsed="false">
      <c r="A119" s="5" t="s">
        <v>61</v>
      </c>
      <c r="B119" s="5" t="s">
        <v>416</v>
      </c>
      <c r="C119" s="5" t="s">
        <v>76</v>
      </c>
      <c r="D119" s="6"/>
      <c r="E119" s="6" t="n">
        <v>130</v>
      </c>
      <c r="F119" s="6" t="n">
        <v>86122.44</v>
      </c>
    </row>
    <row r="120" customFormat="false" ht="15" hidden="false" customHeight="true" outlineLevel="0" collapsed="false">
      <c r="A120" s="5" t="s">
        <v>61</v>
      </c>
      <c r="B120" s="5" t="s">
        <v>417</v>
      </c>
      <c r="C120" s="5" t="s">
        <v>76</v>
      </c>
      <c r="D120" s="6"/>
      <c r="E120" s="6" t="n">
        <v>80</v>
      </c>
      <c r="F120" s="6" t="n">
        <v>86202.44</v>
      </c>
    </row>
    <row r="121" customFormat="false" ht="15" hidden="false" customHeight="true" outlineLevel="0" collapsed="false">
      <c r="A121" s="5" t="s">
        <v>62</v>
      </c>
      <c r="B121" s="5" t="s">
        <v>418</v>
      </c>
      <c r="C121" s="5" t="s">
        <v>76</v>
      </c>
      <c r="D121" s="6"/>
      <c r="E121" s="6" t="n">
        <v>280</v>
      </c>
      <c r="F121" s="6" t="n">
        <v>86482.44</v>
      </c>
    </row>
    <row r="122" customFormat="false" ht="15" hidden="false" customHeight="true" outlineLevel="0" collapsed="false">
      <c r="A122" s="5" t="s">
        <v>62</v>
      </c>
      <c r="B122" s="5" t="s">
        <v>419</v>
      </c>
      <c r="C122" s="5" t="s">
        <v>76</v>
      </c>
      <c r="D122" s="6"/>
      <c r="E122" s="6" t="n">
        <v>40</v>
      </c>
      <c r="F122" s="6" t="n">
        <v>86522.44</v>
      </c>
    </row>
    <row r="123" customFormat="false" ht="15" hidden="false" customHeight="true" outlineLevel="0" collapsed="false">
      <c r="A123" s="5" t="s">
        <v>62</v>
      </c>
      <c r="B123" s="5" t="s">
        <v>420</v>
      </c>
      <c r="C123" s="5" t="s">
        <v>76</v>
      </c>
      <c r="D123" s="6"/>
      <c r="E123" s="6" t="n">
        <v>15120</v>
      </c>
      <c r="F123" s="6" t="n">
        <v>101642.44</v>
      </c>
    </row>
    <row r="124" customFormat="false" ht="15" hidden="false" customHeight="true" outlineLevel="0" collapsed="false">
      <c r="A124" s="5" t="s">
        <v>62</v>
      </c>
      <c r="B124" s="5" t="s">
        <v>421</v>
      </c>
      <c r="C124" s="5" t="s">
        <v>76</v>
      </c>
      <c r="D124" s="6"/>
      <c r="E124" s="6" t="n">
        <v>170</v>
      </c>
      <c r="F124" s="6" t="n">
        <v>101812.44</v>
      </c>
    </row>
    <row r="125" customFormat="false" ht="15" hidden="false" customHeight="true" outlineLevel="0" collapsed="false">
      <c r="A125" s="5" t="s">
        <v>62</v>
      </c>
      <c r="B125" s="5" t="s">
        <v>422</v>
      </c>
      <c r="C125" s="5" t="s">
        <v>76</v>
      </c>
      <c r="D125" s="6"/>
      <c r="E125" s="6" t="n">
        <v>250</v>
      </c>
      <c r="F125" s="6" t="n">
        <v>102062.44</v>
      </c>
    </row>
    <row r="126" customFormat="false" ht="15" hidden="false" customHeight="true" outlineLevel="0" collapsed="false">
      <c r="A126" s="5" t="s">
        <v>62</v>
      </c>
      <c r="B126" s="5" t="s">
        <v>423</v>
      </c>
      <c r="C126" s="5" t="s">
        <v>76</v>
      </c>
      <c r="D126" s="6"/>
      <c r="E126" s="6" t="n">
        <v>320</v>
      </c>
      <c r="F126" s="6" t="n">
        <v>102382.44</v>
      </c>
    </row>
    <row r="127" customFormat="false" ht="15" hidden="false" customHeight="true" outlineLevel="0" collapsed="false">
      <c r="A127" s="5" t="s">
        <v>62</v>
      </c>
      <c r="B127" s="5" t="s">
        <v>424</v>
      </c>
      <c r="C127" s="5" t="s">
        <v>76</v>
      </c>
      <c r="D127" s="6"/>
      <c r="E127" s="6" t="n">
        <v>60</v>
      </c>
      <c r="F127" s="6" t="n">
        <v>102442.44</v>
      </c>
    </row>
    <row r="128" customFormat="false" ht="15" hidden="false" customHeight="true" outlineLevel="0" collapsed="false">
      <c r="A128" s="5" t="s">
        <v>62</v>
      </c>
      <c r="B128" s="5" t="s">
        <v>425</v>
      </c>
      <c r="C128" s="5" t="s">
        <v>76</v>
      </c>
      <c r="D128" s="6"/>
      <c r="E128" s="6" t="n">
        <v>450</v>
      </c>
      <c r="F128" s="6" t="n">
        <v>102892.44</v>
      </c>
    </row>
    <row r="129" customFormat="false" ht="15" hidden="false" customHeight="true" outlineLevel="0" collapsed="false">
      <c r="A129" s="5" t="s">
        <v>62</v>
      </c>
      <c r="B129" s="5" t="s">
        <v>426</v>
      </c>
      <c r="C129" s="5" t="s">
        <v>76</v>
      </c>
      <c r="D129" s="6" t="n">
        <v>3000</v>
      </c>
      <c r="E129" s="6"/>
      <c r="F129" s="6" t="n">
        <v>99892.44</v>
      </c>
    </row>
    <row r="130" customFormat="false" ht="15" hidden="false" customHeight="true" outlineLevel="0" collapsed="false">
      <c r="A130" s="5" t="s">
        <v>62</v>
      </c>
      <c r="B130" s="5" t="s">
        <v>427</v>
      </c>
      <c r="C130" s="5" t="s">
        <v>76</v>
      </c>
      <c r="D130" s="6"/>
      <c r="E130" s="6" t="n">
        <v>200</v>
      </c>
      <c r="F130" s="6" t="n">
        <v>100092.44</v>
      </c>
    </row>
    <row r="131" customFormat="false" ht="15" hidden="false" customHeight="true" outlineLevel="0" collapsed="false">
      <c r="A131" s="5" t="s">
        <v>62</v>
      </c>
      <c r="B131" s="5" t="s">
        <v>428</v>
      </c>
      <c r="C131" s="5" t="s">
        <v>76</v>
      </c>
      <c r="D131" s="6"/>
      <c r="E131" s="6" t="n">
        <v>180</v>
      </c>
      <c r="F131" s="6" t="n">
        <v>100272.44</v>
      </c>
    </row>
    <row r="132" customFormat="false" ht="15" hidden="false" customHeight="true" outlineLevel="0" collapsed="false">
      <c r="A132" s="5" t="s">
        <v>62</v>
      </c>
      <c r="B132" s="5" t="s">
        <v>429</v>
      </c>
      <c r="C132" s="5" t="s">
        <v>76</v>
      </c>
      <c r="D132" s="6"/>
      <c r="E132" s="6" t="n">
        <v>240</v>
      </c>
      <c r="F132" s="6" t="n">
        <v>100512.44</v>
      </c>
    </row>
    <row r="133" customFormat="false" ht="15" hidden="false" customHeight="true" outlineLevel="0" collapsed="false">
      <c r="A133" s="5" t="s">
        <v>62</v>
      </c>
      <c r="B133" s="5" t="s">
        <v>430</v>
      </c>
      <c r="C133" s="5" t="s">
        <v>76</v>
      </c>
      <c r="D133" s="6"/>
      <c r="E133" s="6" t="n">
        <v>8700</v>
      </c>
      <c r="F133" s="6" t="n">
        <v>109212.44</v>
      </c>
    </row>
    <row r="134" customFormat="false" ht="15" hidden="false" customHeight="true" outlineLevel="0" collapsed="false">
      <c r="A134" s="5" t="s">
        <v>62</v>
      </c>
      <c r="B134" s="5" t="s">
        <v>431</v>
      </c>
      <c r="C134" s="5" t="s">
        <v>76</v>
      </c>
      <c r="D134" s="6"/>
      <c r="E134" s="6" t="n">
        <v>50</v>
      </c>
      <c r="F134" s="6" t="n">
        <v>109262.44</v>
      </c>
    </row>
    <row r="135" customFormat="false" ht="15" hidden="false" customHeight="true" outlineLevel="0" collapsed="false">
      <c r="A135" s="5" t="s">
        <v>62</v>
      </c>
      <c r="B135" s="5" t="s">
        <v>432</v>
      </c>
      <c r="C135" s="5" t="s">
        <v>76</v>
      </c>
      <c r="D135" s="6"/>
      <c r="E135" s="6" t="n">
        <v>70</v>
      </c>
      <c r="F135" s="6" t="n">
        <v>109332.44</v>
      </c>
    </row>
    <row r="136" customFormat="false" ht="15" hidden="false" customHeight="true" outlineLevel="0" collapsed="false">
      <c r="A136" s="5" t="s">
        <v>62</v>
      </c>
      <c r="B136" s="5" t="s">
        <v>433</v>
      </c>
      <c r="C136" s="5" t="s">
        <v>76</v>
      </c>
      <c r="D136" s="6"/>
      <c r="E136" s="6" t="n">
        <v>80</v>
      </c>
      <c r="F136" s="6" t="n">
        <v>109412.44</v>
      </c>
    </row>
    <row r="137" customFormat="false" ht="15" hidden="false" customHeight="true" outlineLevel="0" collapsed="false">
      <c r="A137" s="5" t="s">
        <v>62</v>
      </c>
      <c r="B137" s="5" t="s">
        <v>434</v>
      </c>
      <c r="C137" s="5" t="s">
        <v>76</v>
      </c>
      <c r="D137" s="6"/>
      <c r="E137" s="6" t="n">
        <v>80</v>
      </c>
      <c r="F137" s="6" t="n">
        <v>109492.44</v>
      </c>
    </row>
    <row r="138" customFormat="false" ht="15" hidden="false" customHeight="true" outlineLevel="0" collapsed="false">
      <c r="A138" s="5" t="s">
        <v>62</v>
      </c>
      <c r="B138" s="5" t="s">
        <v>435</v>
      </c>
      <c r="C138" s="5" t="s">
        <v>76</v>
      </c>
      <c r="D138" s="6"/>
      <c r="E138" s="6" t="n">
        <v>1000</v>
      </c>
      <c r="F138" s="6" t="n">
        <v>110492.44</v>
      </c>
    </row>
    <row r="139" customFormat="false" ht="15" hidden="false" customHeight="true" outlineLevel="0" collapsed="false">
      <c r="A139" s="5" t="s">
        <v>62</v>
      </c>
      <c r="B139" s="5" t="s">
        <v>436</v>
      </c>
      <c r="C139" s="5" t="s">
        <v>83</v>
      </c>
      <c r="D139" s="6" t="n">
        <v>2.71</v>
      </c>
      <c r="E139" s="6"/>
      <c r="F139" s="6" t="n">
        <v>110489.73</v>
      </c>
    </row>
    <row r="140" customFormat="false" ht="15" hidden="false" customHeight="true" outlineLevel="0" collapsed="false">
      <c r="A140" s="5" t="s">
        <v>63</v>
      </c>
      <c r="B140" s="5" t="s">
        <v>437</v>
      </c>
      <c r="C140" s="5" t="s">
        <v>76</v>
      </c>
      <c r="D140" s="6"/>
      <c r="E140" s="6" t="n">
        <v>180</v>
      </c>
      <c r="F140" s="6" t="n">
        <v>110669.73</v>
      </c>
    </row>
    <row r="141" customFormat="false" ht="15" hidden="false" customHeight="true" outlineLevel="0" collapsed="false">
      <c r="A141" s="5" t="s">
        <v>63</v>
      </c>
      <c r="B141" s="5" t="s">
        <v>438</v>
      </c>
      <c r="C141" s="5" t="s">
        <v>76</v>
      </c>
      <c r="D141" s="6"/>
      <c r="E141" s="6" t="n">
        <v>4410</v>
      </c>
      <c r="F141" s="6" t="n">
        <v>115079.73</v>
      </c>
    </row>
    <row r="142" customFormat="false" ht="15" hidden="false" customHeight="true" outlineLevel="0" collapsed="false">
      <c r="A142" s="5" t="s">
        <v>63</v>
      </c>
      <c r="B142" s="5" t="s">
        <v>439</v>
      </c>
      <c r="C142" s="5" t="s">
        <v>76</v>
      </c>
      <c r="D142" s="6"/>
      <c r="E142" s="6" t="n">
        <v>110</v>
      </c>
      <c r="F142" s="6" t="n">
        <v>115189.73</v>
      </c>
    </row>
    <row r="143" customFormat="false" ht="15" hidden="false" customHeight="true" outlineLevel="0" collapsed="false">
      <c r="A143" s="5" t="s">
        <v>63</v>
      </c>
      <c r="B143" s="5" t="s">
        <v>440</v>
      </c>
      <c r="C143" s="5" t="s">
        <v>76</v>
      </c>
      <c r="D143" s="6"/>
      <c r="E143" s="6" t="n">
        <v>2000</v>
      </c>
      <c r="F143" s="6" t="n">
        <v>117189.73</v>
      </c>
    </row>
    <row r="144" customFormat="false" ht="15" hidden="false" customHeight="true" outlineLevel="0" collapsed="false">
      <c r="A144" s="5" t="s">
        <v>63</v>
      </c>
      <c r="B144" s="5" t="s">
        <v>441</v>
      </c>
      <c r="C144" s="5" t="s">
        <v>76</v>
      </c>
      <c r="D144" s="6" t="n">
        <v>500</v>
      </c>
      <c r="E144" s="6"/>
      <c r="F144" s="6" t="n">
        <v>116689.73</v>
      </c>
    </row>
    <row r="145" customFormat="false" ht="15" hidden="false" customHeight="true" outlineLevel="0" collapsed="false">
      <c r="A145" s="5" t="s">
        <v>63</v>
      </c>
      <c r="B145" s="5" t="s">
        <v>442</v>
      </c>
      <c r="C145" s="5" t="s">
        <v>76</v>
      </c>
      <c r="D145" s="6"/>
      <c r="E145" s="6" t="n">
        <v>300</v>
      </c>
      <c r="F145" s="6" t="n">
        <v>116989.73</v>
      </c>
    </row>
    <row r="146" customFormat="false" ht="15" hidden="false" customHeight="true" outlineLevel="0" collapsed="false">
      <c r="A146" s="5" t="s">
        <v>63</v>
      </c>
      <c r="B146" s="5" t="s">
        <v>443</v>
      </c>
      <c r="C146" s="5" t="s">
        <v>76</v>
      </c>
      <c r="D146" s="6"/>
      <c r="E146" s="6" t="n">
        <v>8100</v>
      </c>
      <c r="F146" s="6" t="n">
        <v>125089.73</v>
      </c>
    </row>
    <row r="147" customFormat="false" ht="15" hidden="false" customHeight="true" outlineLevel="0" collapsed="false">
      <c r="A147" s="5" t="s">
        <v>63</v>
      </c>
      <c r="B147" s="5" t="s">
        <v>444</v>
      </c>
      <c r="C147" s="5" t="s">
        <v>76</v>
      </c>
      <c r="D147" s="6"/>
      <c r="E147" s="6" t="n">
        <v>3250</v>
      </c>
      <c r="F147" s="6" t="n">
        <v>128339.73</v>
      </c>
    </row>
    <row r="148" customFormat="false" ht="15" hidden="false" customHeight="true" outlineLevel="0" collapsed="false">
      <c r="A148" s="5" t="s">
        <v>63</v>
      </c>
      <c r="B148" s="5" t="s">
        <v>445</v>
      </c>
      <c r="C148" s="5" t="s">
        <v>76</v>
      </c>
      <c r="D148" s="6"/>
      <c r="E148" s="6" t="n">
        <v>500</v>
      </c>
      <c r="F148" s="6" t="n">
        <v>128839.73</v>
      </c>
    </row>
    <row r="149" customFormat="false" ht="15" hidden="false" customHeight="true" outlineLevel="0" collapsed="false">
      <c r="A149" s="5" t="s">
        <v>63</v>
      </c>
      <c r="B149" s="5" t="s">
        <v>446</v>
      </c>
      <c r="C149" s="5" t="s">
        <v>76</v>
      </c>
      <c r="D149" s="6"/>
      <c r="E149" s="6" t="n">
        <v>660</v>
      </c>
      <c r="F149" s="6" t="n">
        <v>129499.73</v>
      </c>
    </row>
    <row r="150" customFormat="false" ht="15" hidden="false" customHeight="true" outlineLevel="0" collapsed="false">
      <c r="A150" s="5" t="s">
        <v>63</v>
      </c>
      <c r="B150" s="5" t="s">
        <v>447</v>
      </c>
      <c r="C150" s="5" t="s">
        <v>76</v>
      </c>
      <c r="D150" s="6"/>
      <c r="E150" s="6" t="n">
        <v>1000</v>
      </c>
      <c r="F150" s="6" t="n">
        <v>130499.73</v>
      </c>
    </row>
    <row r="151" customFormat="false" ht="15" hidden="false" customHeight="true" outlineLevel="0" collapsed="false">
      <c r="A151" s="5" t="s">
        <v>63</v>
      </c>
      <c r="B151" s="5" t="s">
        <v>448</v>
      </c>
      <c r="C151" s="5" t="s">
        <v>76</v>
      </c>
      <c r="D151" s="6"/>
      <c r="E151" s="6" t="n">
        <v>4100</v>
      </c>
      <c r="F151" s="6" t="n">
        <v>134599.73</v>
      </c>
    </row>
    <row r="152" customFormat="false" ht="15" hidden="false" customHeight="true" outlineLevel="0" collapsed="false">
      <c r="A152" s="5" t="s">
        <v>63</v>
      </c>
      <c r="B152" s="5" t="s">
        <v>449</v>
      </c>
      <c r="C152" s="5" t="s">
        <v>76</v>
      </c>
      <c r="D152" s="6" t="n">
        <v>4100</v>
      </c>
      <c r="E152" s="6"/>
      <c r="F152" s="6" t="n">
        <v>130499.73</v>
      </c>
    </row>
    <row r="153" customFormat="false" ht="15" hidden="false" customHeight="true" outlineLevel="0" collapsed="false">
      <c r="A153" s="5" t="s">
        <v>63</v>
      </c>
      <c r="B153" s="5" t="s">
        <v>450</v>
      </c>
      <c r="C153" s="5" t="s">
        <v>76</v>
      </c>
      <c r="D153" s="6"/>
      <c r="E153" s="6" t="n">
        <v>50</v>
      </c>
      <c r="F153" s="6" t="n">
        <v>130549.73</v>
      </c>
    </row>
    <row r="154" customFormat="false" ht="15" hidden="false" customHeight="true" outlineLevel="0" collapsed="false">
      <c r="A154" s="5" t="s">
        <v>63</v>
      </c>
      <c r="B154" s="5" t="s">
        <v>451</v>
      </c>
      <c r="C154" s="5" t="s">
        <v>76</v>
      </c>
      <c r="D154" s="6"/>
      <c r="E154" s="6" t="n">
        <v>90</v>
      </c>
      <c r="F154" s="6" t="n">
        <v>130639.73</v>
      </c>
    </row>
    <row r="155" customFormat="false" ht="15" hidden="false" customHeight="true" outlineLevel="0" collapsed="false">
      <c r="A155" s="5" t="s">
        <v>63</v>
      </c>
      <c r="B155" s="5" t="s">
        <v>452</v>
      </c>
      <c r="C155" s="5" t="s">
        <v>76</v>
      </c>
      <c r="D155" s="6"/>
      <c r="E155" s="6" t="n">
        <v>90</v>
      </c>
      <c r="F155" s="6" t="n">
        <v>130729.73</v>
      </c>
    </row>
    <row r="156" customFormat="false" ht="15" hidden="false" customHeight="true" outlineLevel="0" collapsed="false">
      <c r="A156" s="5" t="s">
        <v>63</v>
      </c>
      <c r="B156" s="5" t="s">
        <v>453</v>
      </c>
      <c r="C156" s="5" t="s">
        <v>76</v>
      </c>
      <c r="D156" s="6" t="n">
        <v>5500</v>
      </c>
      <c r="E156" s="6"/>
      <c r="F156" s="6" t="n">
        <v>125229.73</v>
      </c>
    </row>
    <row r="157" customFormat="false" ht="15" hidden="false" customHeight="true" outlineLevel="0" collapsed="false">
      <c r="A157" s="5" t="s">
        <v>63</v>
      </c>
      <c r="B157" s="5" t="s">
        <v>454</v>
      </c>
      <c r="C157" s="5" t="s">
        <v>76</v>
      </c>
      <c r="D157" s="6"/>
      <c r="E157" s="6" t="n">
        <v>90</v>
      </c>
      <c r="F157" s="6" t="n">
        <v>125319.73</v>
      </c>
    </row>
    <row r="158" customFormat="false" ht="15" hidden="false" customHeight="true" outlineLevel="0" collapsed="false">
      <c r="A158" s="5" t="s">
        <v>63</v>
      </c>
      <c r="B158" s="5" t="s">
        <v>455</v>
      </c>
      <c r="C158" s="5" t="s">
        <v>83</v>
      </c>
      <c r="D158" s="6" t="n">
        <v>3.26</v>
      </c>
      <c r="E158" s="6"/>
      <c r="F158" s="6" t="n">
        <v>125316.47</v>
      </c>
    </row>
    <row r="159" customFormat="false" ht="15" hidden="false" customHeight="true" outlineLevel="0" collapsed="false">
      <c r="A159" s="5" t="s">
        <v>64</v>
      </c>
      <c r="B159" s="5" t="s">
        <v>456</v>
      </c>
      <c r="C159" s="5" t="s">
        <v>76</v>
      </c>
      <c r="D159" s="6"/>
      <c r="E159" s="6" t="n">
        <v>6209</v>
      </c>
      <c r="F159" s="6" t="n">
        <v>131525.47</v>
      </c>
    </row>
    <row r="160" customFormat="false" ht="15" hidden="false" customHeight="true" outlineLevel="0" collapsed="false">
      <c r="A160" s="5" t="s">
        <v>64</v>
      </c>
      <c r="B160" s="5" t="s">
        <v>457</v>
      </c>
      <c r="C160" s="5" t="s">
        <v>76</v>
      </c>
      <c r="D160" s="6" t="n">
        <v>4480</v>
      </c>
      <c r="E160" s="6"/>
      <c r="F160" s="6" t="n">
        <v>127045.47</v>
      </c>
    </row>
    <row r="161" customFormat="false" ht="15" hidden="false" customHeight="true" outlineLevel="0" collapsed="false">
      <c r="A161" s="5" t="s">
        <v>64</v>
      </c>
      <c r="B161" s="5" t="s">
        <v>458</v>
      </c>
      <c r="C161" s="5" t="s">
        <v>76</v>
      </c>
      <c r="D161" s="6"/>
      <c r="E161" s="6" t="n">
        <v>1760</v>
      </c>
      <c r="F161" s="6" t="n">
        <v>128805.47</v>
      </c>
    </row>
    <row r="162" customFormat="false" ht="15" hidden="false" customHeight="true" outlineLevel="0" collapsed="false">
      <c r="A162" s="5" t="s">
        <v>64</v>
      </c>
      <c r="B162" s="5" t="s">
        <v>459</v>
      </c>
      <c r="C162" s="5" t="s">
        <v>76</v>
      </c>
      <c r="D162" s="6"/>
      <c r="E162" s="6" t="n">
        <v>390</v>
      </c>
      <c r="F162" s="6" t="n">
        <v>129195.47</v>
      </c>
    </row>
    <row r="163" customFormat="false" ht="15" hidden="false" customHeight="true" outlineLevel="0" collapsed="false">
      <c r="A163" s="5" t="s">
        <v>64</v>
      </c>
      <c r="B163" s="5" t="s">
        <v>460</v>
      </c>
      <c r="C163" s="5" t="s">
        <v>76</v>
      </c>
      <c r="D163" s="6"/>
      <c r="E163" s="6" t="n">
        <v>30</v>
      </c>
      <c r="F163" s="6" t="n">
        <v>129225.47</v>
      </c>
    </row>
    <row r="164" customFormat="false" ht="15" hidden="false" customHeight="true" outlineLevel="0" collapsed="false">
      <c r="A164" s="5" t="s">
        <v>64</v>
      </c>
      <c r="B164" s="5" t="s">
        <v>461</v>
      </c>
      <c r="C164" s="5" t="s">
        <v>76</v>
      </c>
      <c r="D164" s="6" t="n">
        <v>25</v>
      </c>
      <c r="E164" s="6"/>
      <c r="F164" s="6" t="n">
        <v>129200.47</v>
      </c>
    </row>
    <row r="165" customFormat="false" ht="15" hidden="false" customHeight="true" outlineLevel="0" collapsed="false">
      <c r="A165" s="5" t="s">
        <v>64</v>
      </c>
      <c r="B165" s="5" t="s">
        <v>462</v>
      </c>
      <c r="C165" s="5" t="s">
        <v>76</v>
      </c>
      <c r="D165" s="6"/>
      <c r="E165" s="6" t="n">
        <v>230</v>
      </c>
      <c r="F165" s="6" t="n">
        <v>129430.47</v>
      </c>
    </row>
    <row r="166" customFormat="false" ht="15" hidden="false" customHeight="true" outlineLevel="0" collapsed="false">
      <c r="A166" s="5" t="s">
        <v>64</v>
      </c>
      <c r="B166" s="5" t="s">
        <v>463</v>
      </c>
      <c r="C166" s="5" t="s">
        <v>76</v>
      </c>
      <c r="D166" s="6"/>
      <c r="E166" s="6" t="n">
        <v>20</v>
      </c>
      <c r="F166" s="6" t="n">
        <v>129450.47</v>
      </c>
    </row>
    <row r="167" customFormat="false" ht="15" hidden="false" customHeight="true" outlineLevel="0" collapsed="false">
      <c r="A167" s="5" t="s">
        <v>64</v>
      </c>
      <c r="B167" s="5" t="s">
        <v>464</v>
      </c>
      <c r="C167" s="5" t="s">
        <v>76</v>
      </c>
      <c r="D167" s="6"/>
      <c r="E167" s="6" t="n">
        <v>800</v>
      </c>
      <c r="F167" s="6" t="n">
        <v>130250.47</v>
      </c>
    </row>
    <row r="168" customFormat="false" ht="15" hidden="false" customHeight="true" outlineLevel="0" collapsed="false">
      <c r="A168" s="5" t="s">
        <v>64</v>
      </c>
      <c r="B168" s="5" t="s">
        <v>465</v>
      </c>
      <c r="C168" s="5" t="s">
        <v>76</v>
      </c>
      <c r="D168" s="6"/>
      <c r="E168" s="6" t="n">
        <v>500</v>
      </c>
      <c r="F168" s="6" t="n">
        <v>130750.47</v>
      </c>
    </row>
    <row r="169" customFormat="false" ht="15" hidden="false" customHeight="true" outlineLevel="0" collapsed="false">
      <c r="A169" s="5" t="s">
        <v>64</v>
      </c>
      <c r="B169" s="5" t="s">
        <v>466</v>
      </c>
      <c r="C169" s="5" t="s">
        <v>76</v>
      </c>
      <c r="D169" s="6"/>
      <c r="E169" s="6" t="n">
        <v>180</v>
      </c>
      <c r="F169" s="6" t="n">
        <v>130930.47</v>
      </c>
    </row>
    <row r="170" customFormat="false" ht="15" hidden="false" customHeight="true" outlineLevel="0" collapsed="false">
      <c r="A170" s="5" t="s">
        <v>64</v>
      </c>
      <c r="B170" s="5" t="s">
        <v>467</v>
      </c>
      <c r="C170" s="5" t="s">
        <v>76</v>
      </c>
      <c r="D170" s="6"/>
      <c r="E170" s="6" t="n">
        <v>40</v>
      </c>
      <c r="F170" s="6" t="n">
        <v>130970.47</v>
      </c>
    </row>
    <row r="171" customFormat="false" ht="15" hidden="false" customHeight="true" outlineLevel="0" collapsed="false">
      <c r="A171" s="5" t="s">
        <v>64</v>
      </c>
      <c r="B171" s="5" t="s">
        <v>468</v>
      </c>
      <c r="C171" s="5" t="s">
        <v>76</v>
      </c>
      <c r="D171" s="6"/>
      <c r="E171" s="6" t="n">
        <v>630</v>
      </c>
      <c r="F171" s="6" t="n">
        <v>131600.47</v>
      </c>
    </row>
    <row r="172" customFormat="false" ht="15" hidden="false" customHeight="true" outlineLevel="0" collapsed="false">
      <c r="A172" s="5" t="s">
        <v>64</v>
      </c>
      <c r="B172" s="5" t="s">
        <v>469</v>
      </c>
      <c r="C172" s="5" t="s">
        <v>76</v>
      </c>
      <c r="D172" s="6"/>
      <c r="E172" s="6" t="n">
        <v>300</v>
      </c>
      <c r="F172" s="6" t="n">
        <v>131900.47</v>
      </c>
    </row>
    <row r="173" customFormat="false" ht="15" hidden="false" customHeight="true" outlineLevel="0" collapsed="false">
      <c r="A173" s="5" t="s">
        <v>64</v>
      </c>
      <c r="B173" s="5" t="s">
        <v>470</v>
      </c>
      <c r="C173" s="5" t="s">
        <v>76</v>
      </c>
      <c r="D173" s="6"/>
      <c r="E173" s="6" t="n">
        <v>2000</v>
      </c>
      <c r="F173" s="6" t="n">
        <v>133900.47</v>
      </c>
    </row>
    <row r="174" customFormat="false" ht="15" hidden="false" customHeight="true" outlineLevel="0" collapsed="false">
      <c r="A174" s="5" t="s">
        <v>64</v>
      </c>
      <c r="B174" s="5" t="s">
        <v>471</v>
      </c>
      <c r="C174" s="5" t="s">
        <v>76</v>
      </c>
      <c r="D174" s="6"/>
      <c r="E174" s="6" t="n">
        <v>4270</v>
      </c>
      <c r="F174" s="6" t="n">
        <v>138170.47</v>
      </c>
    </row>
    <row r="175" customFormat="false" ht="15" hidden="false" customHeight="true" outlineLevel="0" collapsed="false">
      <c r="A175" s="5" t="s">
        <v>64</v>
      </c>
      <c r="B175" s="5" t="s">
        <v>472</v>
      </c>
      <c r="C175" s="5" t="s">
        <v>76</v>
      </c>
      <c r="D175" s="6" t="n">
        <v>4060</v>
      </c>
      <c r="E175" s="6"/>
      <c r="F175" s="6" t="n">
        <v>134110.47</v>
      </c>
    </row>
    <row r="176" customFormat="false" ht="15" hidden="false" customHeight="true" outlineLevel="0" collapsed="false">
      <c r="A176" s="5" t="s">
        <v>64</v>
      </c>
      <c r="B176" s="5" t="s">
        <v>473</v>
      </c>
      <c r="C176" s="5" t="s">
        <v>76</v>
      </c>
      <c r="D176" s="6"/>
      <c r="E176" s="6" t="n">
        <v>120</v>
      </c>
      <c r="F176" s="6" t="n">
        <v>134230.47</v>
      </c>
    </row>
    <row r="177" customFormat="false" ht="15" hidden="false" customHeight="true" outlineLevel="0" collapsed="false">
      <c r="A177" s="5" t="s">
        <v>64</v>
      </c>
      <c r="B177" s="5" t="s">
        <v>474</v>
      </c>
      <c r="C177" s="5" t="s">
        <v>76</v>
      </c>
      <c r="D177" s="6"/>
      <c r="E177" s="6" t="n">
        <v>60</v>
      </c>
      <c r="F177" s="6" t="n">
        <v>134290.47</v>
      </c>
    </row>
    <row r="178" customFormat="false" ht="15" hidden="false" customHeight="true" outlineLevel="0" collapsed="false">
      <c r="A178" s="5" t="s">
        <v>64</v>
      </c>
      <c r="B178" s="5" t="s">
        <v>475</v>
      </c>
      <c r="C178" s="5" t="s">
        <v>76</v>
      </c>
      <c r="D178" s="6"/>
      <c r="E178" s="6" t="n">
        <v>160</v>
      </c>
      <c r="F178" s="6" t="n">
        <v>134450.47</v>
      </c>
    </row>
    <row r="179" customFormat="false" ht="15" hidden="false" customHeight="true" outlineLevel="0" collapsed="false">
      <c r="A179" s="5" t="s">
        <v>64</v>
      </c>
      <c r="B179" s="5" t="s">
        <v>476</v>
      </c>
      <c r="C179" s="5" t="s">
        <v>76</v>
      </c>
      <c r="D179" s="6"/>
      <c r="E179" s="6" t="n">
        <v>200</v>
      </c>
      <c r="F179" s="6" t="n">
        <v>134650.47</v>
      </c>
    </row>
    <row r="180" customFormat="false" ht="15" hidden="false" customHeight="true" outlineLevel="0" collapsed="false">
      <c r="A180" s="5" t="s">
        <v>64</v>
      </c>
      <c r="B180" s="5" t="s">
        <v>477</v>
      </c>
      <c r="C180" s="5" t="s">
        <v>76</v>
      </c>
      <c r="D180" s="6"/>
      <c r="E180" s="6" t="n">
        <v>40</v>
      </c>
      <c r="F180" s="6" t="n">
        <v>134690.47</v>
      </c>
    </row>
    <row r="181" customFormat="false" ht="15" hidden="false" customHeight="true" outlineLevel="0" collapsed="false">
      <c r="A181" s="5" t="s">
        <v>64</v>
      </c>
      <c r="B181" s="5" t="s">
        <v>478</v>
      </c>
      <c r="C181" s="5" t="s">
        <v>76</v>
      </c>
      <c r="D181" s="6"/>
      <c r="E181" s="6" t="n">
        <v>200</v>
      </c>
      <c r="F181" s="6" t="n">
        <v>134890.47</v>
      </c>
    </row>
    <row r="182" customFormat="false" ht="15" hidden="false" customHeight="true" outlineLevel="0" collapsed="false">
      <c r="A182" s="5" t="s">
        <v>64</v>
      </c>
      <c r="B182" s="5" t="s">
        <v>479</v>
      </c>
      <c r="C182" s="5" t="s">
        <v>76</v>
      </c>
      <c r="D182" s="6"/>
      <c r="E182" s="6" t="n">
        <v>160</v>
      </c>
      <c r="F182" s="6" t="n">
        <v>135050.47</v>
      </c>
    </row>
    <row r="183" customFormat="false" ht="15" hidden="false" customHeight="true" outlineLevel="0" collapsed="false">
      <c r="A183" s="5" t="s">
        <v>64</v>
      </c>
      <c r="B183" s="5" t="s">
        <v>480</v>
      </c>
      <c r="C183" s="5" t="s">
        <v>76</v>
      </c>
      <c r="D183" s="6"/>
      <c r="E183" s="6" t="n">
        <v>300</v>
      </c>
      <c r="F183" s="6" t="n">
        <v>135350.47</v>
      </c>
    </row>
    <row r="184" customFormat="false" ht="15" hidden="false" customHeight="true" outlineLevel="0" collapsed="false">
      <c r="A184" s="5" t="s">
        <v>64</v>
      </c>
      <c r="B184" s="5" t="s">
        <v>481</v>
      </c>
      <c r="C184" s="5" t="s">
        <v>76</v>
      </c>
      <c r="D184" s="6"/>
      <c r="E184" s="6" t="n">
        <v>80</v>
      </c>
      <c r="F184" s="6" t="n">
        <v>135430.47</v>
      </c>
    </row>
    <row r="185" customFormat="false" ht="15" hidden="false" customHeight="true" outlineLevel="0" collapsed="false">
      <c r="A185" s="5" t="s">
        <v>64</v>
      </c>
      <c r="B185" s="5" t="s">
        <v>482</v>
      </c>
      <c r="C185" s="5" t="s">
        <v>76</v>
      </c>
      <c r="D185" s="6"/>
      <c r="E185" s="6" t="n">
        <v>600</v>
      </c>
      <c r="F185" s="6" t="n">
        <v>136030.47</v>
      </c>
    </row>
    <row r="186" customFormat="false" ht="15" hidden="false" customHeight="true" outlineLevel="0" collapsed="false">
      <c r="A186" s="5" t="s">
        <v>65</v>
      </c>
      <c r="B186" s="5" t="s">
        <v>483</v>
      </c>
      <c r="C186" s="5" t="s">
        <v>76</v>
      </c>
      <c r="D186" s="6"/>
      <c r="E186" s="6" t="n">
        <v>320</v>
      </c>
      <c r="F186" s="6" t="n">
        <v>136350.47</v>
      </c>
    </row>
    <row r="187" customFormat="false" ht="15" hidden="false" customHeight="true" outlineLevel="0" collapsed="false">
      <c r="A187" s="5" t="s">
        <v>65</v>
      </c>
      <c r="B187" s="5" t="s">
        <v>484</v>
      </c>
      <c r="C187" s="5" t="s">
        <v>76</v>
      </c>
      <c r="D187" s="6"/>
      <c r="E187" s="6" t="n">
        <v>200</v>
      </c>
      <c r="F187" s="6" t="n">
        <v>136550.47</v>
      </c>
    </row>
    <row r="188" customFormat="false" ht="15" hidden="false" customHeight="true" outlineLevel="0" collapsed="false">
      <c r="A188" s="5" t="s">
        <v>65</v>
      </c>
      <c r="B188" s="5" t="s">
        <v>485</v>
      </c>
      <c r="C188" s="5" t="s">
        <v>76</v>
      </c>
      <c r="D188" s="6"/>
      <c r="E188" s="6" t="n">
        <v>80</v>
      </c>
      <c r="F188" s="6" t="n">
        <v>136630.47</v>
      </c>
    </row>
    <row r="189" customFormat="false" ht="15" hidden="false" customHeight="true" outlineLevel="0" collapsed="false">
      <c r="A189" s="5" t="s">
        <v>65</v>
      </c>
      <c r="B189" s="5" t="s">
        <v>486</v>
      </c>
      <c r="C189" s="5" t="s">
        <v>76</v>
      </c>
      <c r="D189" s="6"/>
      <c r="E189" s="6" t="n">
        <v>100</v>
      </c>
      <c r="F189" s="6" t="n">
        <v>136730.47</v>
      </c>
    </row>
    <row r="190" customFormat="false" ht="15" hidden="false" customHeight="true" outlineLevel="0" collapsed="false">
      <c r="A190" s="5" t="s">
        <v>65</v>
      </c>
      <c r="B190" s="5" t="s">
        <v>487</v>
      </c>
      <c r="C190" s="5" t="s">
        <v>76</v>
      </c>
      <c r="D190" s="6"/>
      <c r="E190" s="6" t="n">
        <v>200</v>
      </c>
      <c r="F190" s="6" t="n">
        <v>136930.47</v>
      </c>
    </row>
    <row r="191" customFormat="false" ht="15" hidden="false" customHeight="true" outlineLevel="0" collapsed="false">
      <c r="A191" s="5" t="s">
        <v>65</v>
      </c>
      <c r="B191" s="5" t="s">
        <v>488</v>
      </c>
      <c r="C191" s="5" t="s">
        <v>76</v>
      </c>
      <c r="D191" s="6"/>
      <c r="E191" s="6" t="n">
        <v>200</v>
      </c>
      <c r="F191" s="6" t="n">
        <v>137130.47</v>
      </c>
    </row>
    <row r="192" customFormat="false" ht="15" hidden="false" customHeight="true" outlineLevel="0" collapsed="false">
      <c r="A192" s="5" t="s">
        <v>65</v>
      </c>
      <c r="B192" s="5" t="s">
        <v>489</v>
      </c>
      <c r="C192" s="5" t="s">
        <v>76</v>
      </c>
      <c r="D192" s="6"/>
      <c r="E192" s="6" t="n">
        <v>3000</v>
      </c>
      <c r="F192" s="6" t="n">
        <v>140130.47</v>
      </c>
    </row>
    <row r="193" customFormat="false" ht="15" hidden="false" customHeight="true" outlineLevel="0" collapsed="false">
      <c r="A193" s="5" t="s">
        <v>65</v>
      </c>
      <c r="B193" s="5" t="s">
        <v>490</v>
      </c>
      <c r="C193" s="5" t="s">
        <v>76</v>
      </c>
      <c r="D193" s="6"/>
      <c r="E193" s="6" t="n">
        <v>310</v>
      </c>
      <c r="F193" s="6" t="n">
        <v>140440.47</v>
      </c>
    </row>
    <row r="194" customFormat="false" ht="15" hidden="false" customHeight="true" outlineLevel="0" collapsed="false">
      <c r="A194" s="5" t="s">
        <v>65</v>
      </c>
      <c r="B194" s="5" t="s">
        <v>491</v>
      </c>
      <c r="C194" s="5" t="s">
        <v>76</v>
      </c>
      <c r="D194" s="6"/>
      <c r="E194" s="6" t="n">
        <v>120</v>
      </c>
      <c r="F194" s="6" t="n">
        <v>140560.47</v>
      </c>
    </row>
    <row r="195" customFormat="false" ht="15" hidden="false" customHeight="true" outlineLevel="0" collapsed="false">
      <c r="A195" s="5" t="s">
        <v>65</v>
      </c>
      <c r="B195" s="5" t="s">
        <v>492</v>
      </c>
      <c r="C195" s="5" t="s">
        <v>76</v>
      </c>
      <c r="D195" s="6"/>
      <c r="E195" s="6" t="n">
        <v>155</v>
      </c>
      <c r="F195" s="6" t="n">
        <v>140715.47</v>
      </c>
    </row>
    <row r="196" customFormat="false" ht="15" hidden="false" customHeight="true" outlineLevel="0" collapsed="false">
      <c r="A196" s="5" t="s">
        <v>65</v>
      </c>
      <c r="B196" s="5" t="s">
        <v>493</v>
      </c>
      <c r="C196" s="5" t="s">
        <v>76</v>
      </c>
      <c r="D196" s="6" t="n">
        <v>300</v>
      </c>
      <c r="E196" s="6"/>
      <c r="F196" s="6" t="n">
        <v>140415.47</v>
      </c>
    </row>
    <row r="197" customFormat="false" ht="15" hidden="false" customHeight="true" outlineLevel="0" collapsed="false">
      <c r="A197" s="5" t="s">
        <v>65</v>
      </c>
      <c r="B197" s="5" t="s">
        <v>494</v>
      </c>
      <c r="C197" s="5" t="s">
        <v>76</v>
      </c>
      <c r="D197" s="6"/>
      <c r="E197" s="6" t="n">
        <v>200</v>
      </c>
      <c r="F197" s="6" t="n">
        <v>140615.47</v>
      </c>
    </row>
    <row r="198" customFormat="false" ht="15" hidden="false" customHeight="true" outlineLevel="0" collapsed="false">
      <c r="A198" s="5" t="s">
        <v>65</v>
      </c>
      <c r="B198" s="5" t="s">
        <v>495</v>
      </c>
      <c r="C198" s="5" t="s">
        <v>76</v>
      </c>
      <c r="D198" s="6"/>
      <c r="E198" s="6" t="n">
        <v>640</v>
      </c>
      <c r="F198" s="6" t="n">
        <v>141255.47</v>
      </c>
    </row>
    <row r="199" customFormat="false" ht="15" hidden="false" customHeight="true" outlineLevel="0" collapsed="false">
      <c r="A199" s="5" t="s">
        <v>65</v>
      </c>
      <c r="B199" s="5" t="s">
        <v>496</v>
      </c>
      <c r="C199" s="5" t="s">
        <v>76</v>
      </c>
      <c r="D199" s="6"/>
      <c r="E199" s="6" t="n">
        <v>270</v>
      </c>
      <c r="F199" s="6" t="n">
        <v>141525.47</v>
      </c>
    </row>
    <row r="200" customFormat="false" ht="15" hidden="false" customHeight="true" outlineLevel="0" collapsed="false">
      <c r="A200" s="5" t="s">
        <v>65</v>
      </c>
      <c r="B200" s="5" t="s">
        <v>497</v>
      </c>
      <c r="C200" s="5" t="s">
        <v>76</v>
      </c>
      <c r="D200" s="6" t="n">
        <v>50</v>
      </c>
      <c r="E200" s="6"/>
      <c r="F200" s="6" t="n">
        <v>141475.47</v>
      </c>
    </row>
    <row r="201" customFormat="false" ht="15" hidden="false" customHeight="true" outlineLevel="0" collapsed="false">
      <c r="A201" s="5" t="s">
        <v>65</v>
      </c>
      <c r="B201" s="5" t="s">
        <v>498</v>
      </c>
      <c r="C201" s="5" t="s">
        <v>76</v>
      </c>
      <c r="D201" s="6"/>
      <c r="E201" s="6" t="n">
        <v>40</v>
      </c>
      <c r="F201" s="6" t="n">
        <v>141515.47</v>
      </c>
    </row>
    <row r="202" customFormat="false" ht="15" hidden="false" customHeight="true" outlineLevel="0" collapsed="false">
      <c r="A202" s="5" t="s">
        <v>65</v>
      </c>
      <c r="B202" s="5" t="s">
        <v>499</v>
      </c>
      <c r="C202" s="5" t="s">
        <v>76</v>
      </c>
      <c r="D202" s="6"/>
      <c r="E202" s="6" t="n">
        <v>180</v>
      </c>
      <c r="F202" s="6" t="n">
        <v>141695.47</v>
      </c>
    </row>
    <row r="203" customFormat="false" ht="15" hidden="false" customHeight="true" outlineLevel="0" collapsed="false">
      <c r="A203" s="5" t="s">
        <v>65</v>
      </c>
      <c r="B203" s="5" t="s">
        <v>500</v>
      </c>
      <c r="C203" s="5" t="s">
        <v>76</v>
      </c>
      <c r="D203" s="6"/>
      <c r="E203" s="6" t="n">
        <v>200</v>
      </c>
      <c r="F203" s="6" t="n">
        <v>141895.47</v>
      </c>
    </row>
    <row r="204" customFormat="false" ht="15" hidden="false" customHeight="true" outlineLevel="0" collapsed="false">
      <c r="A204" s="5" t="s">
        <v>65</v>
      </c>
      <c r="B204" s="5" t="s">
        <v>501</v>
      </c>
      <c r="C204" s="5" t="s">
        <v>76</v>
      </c>
      <c r="D204" s="6"/>
      <c r="E204" s="6" t="n">
        <v>240</v>
      </c>
      <c r="F204" s="6" t="n">
        <v>142135.47</v>
      </c>
    </row>
    <row r="205" customFormat="false" ht="15" hidden="false" customHeight="true" outlineLevel="0" collapsed="false">
      <c r="A205" s="5" t="s">
        <v>65</v>
      </c>
      <c r="B205" s="5" t="s">
        <v>502</v>
      </c>
      <c r="C205" s="5" t="s">
        <v>76</v>
      </c>
      <c r="D205" s="6"/>
      <c r="E205" s="6" t="n">
        <v>150</v>
      </c>
      <c r="F205" s="6" t="n">
        <v>142285.47</v>
      </c>
    </row>
    <row r="206" customFormat="false" ht="15" hidden="false" customHeight="true" outlineLevel="0" collapsed="false">
      <c r="A206" s="5" t="s">
        <v>65</v>
      </c>
      <c r="B206" s="5" t="s">
        <v>503</v>
      </c>
      <c r="C206" s="5" t="s">
        <v>76</v>
      </c>
      <c r="D206" s="6"/>
      <c r="E206" s="6" t="n">
        <v>130</v>
      </c>
      <c r="F206" s="6" t="n">
        <v>142415.47</v>
      </c>
    </row>
    <row r="207" customFormat="false" ht="15" hidden="false" customHeight="true" outlineLevel="0" collapsed="false">
      <c r="A207" s="5" t="s">
        <v>65</v>
      </c>
      <c r="B207" s="5" t="s">
        <v>504</v>
      </c>
      <c r="C207" s="5" t="s">
        <v>76</v>
      </c>
      <c r="D207" s="6"/>
      <c r="E207" s="6" t="n">
        <v>340</v>
      </c>
      <c r="F207" s="6" t="n">
        <v>142755.47</v>
      </c>
    </row>
    <row r="208" customFormat="false" ht="15" hidden="false" customHeight="true" outlineLevel="0" collapsed="false">
      <c r="A208" s="5" t="s">
        <v>65</v>
      </c>
      <c r="B208" s="5" t="s">
        <v>505</v>
      </c>
      <c r="C208" s="5" t="s">
        <v>76</v>
      </c>
      <c r="D208" s="6"/>
      <c r="E208" s="6" t="n">
        <v>160</v>
      </c>
      <c r="F208" s="6" t="n">
        <v>142915.47</v>
      </c>
    </row>
    <row r="209" customFormat="false" ht="15" hidden="false" customHeight="true" outlineLevel="0" collapsed="false">
      <c r="A209" s="5" t="s">
        <v>66</v>
      </c>
      <c r="B209" s="5" t="s">
        <v>506</v>
      </c>
      <c r="C209" s="5" t="s">
        <v>76</v>
      </c>
      <c r="D209" s="6" t="n">
        <v>4200</v>
      </c>
      <c r="E209" s="6"/>
      <c r="F209" s="6" t="n">
        <v>138715.47</v>
      </c>
    </row>
    <row r="210" customFormat="false" ht="15" hidden="false" customHeight="true" outlineLevel="0" collapsed="false">
      <c r="A210" s="5" t="s">
        <v>66</v>
      </c>
      <c r="B210" s="5" t="s">
        <v>507</v>
      </c>
      <c r="C210" s="5" t="s">
        <v>76</v>
      </c>
      <c r="D210" s="6"/>
      <c r="E210" s="6" t="n">
        <v>160</v>
      </c>
      <c r="F210" s="6" t="n">
        <v>138875.47</v>
      </c>
    </row>
    <row r="211" customFormat="false" ht="15" hidden="false" customHeight="true" outlineLevel="0" collapsed="false">
      <c r="A211" s="5" t="s">
        <v>66</v>
      </c>
      <c r="B211" s="5" t="s">
        <v>508</v>
      </c>
      <c r="C211" s="5" t="s">
        <v>76</v>
      </c>
      <c r="D211" s="6"/>
      <c r="E211" s="6" t="n">
        <v>40</v>
      </c>
      <c r="F211" s="6" t="n">
        <v>138915.47</v>
      </c>
    </row>
    <row r="212" customFormat="false" ht="15" hidden="false" customHeight="true" outlineLevel="0" collapsed="false">
      <c r="A212" s="5" t="s">
        <v>66</v>
      </c>
      <c r="B212" s="5" t="s">
        <v>509</v>
      </c>
      <c r="C212" s="5" t="s">
        <v>76</v>
      </c>
      <c r="D212" s="6" t="n">
        <v>200</v>
      </c>
      <c r="E212" s="6"/>
      <c r="F212" s="6" t="n">
        <v>138715.47</v>
      </c>
    </row>
    <row r="213" customFormat="false" ht="15" hidden="false" customHeight="true" outlineLevel="0" collapsed="false">
      <c r="A213" s="5" t="s">
        <v>66</v>
      </c>
      <c r="B213" s="5" t="s">
        <v>510</v>
      </c>
      <c r="C213" s="5" t="s">
        <v>76</v>
      </c>
      <c r="D213" s="6" t="n">
        <v>5740</v>
      </c>
      <c r="E213" s="6"/>
      <c r="F213" s="6" t="n">
        <v>132975.47</v>
      </c>
    </row>
    <row r="214" customFormat="false" ht="15" hidden="false" customHeight="true" outlineLevel="0" collapsed="false">
      <c r="A214" s="5" t="s">
        <v>66</v>
      </c>
      <c r="B214" s="5" t="s">
        <v>511</v>
      </c>
      <c r="C214" s="5" t="s">
        <v>76</v>
      </c>
      <c r="D214" s="6"/>
      <c r="E214" s="6" t="n">
        <v>60</v>
      </c>
      <c r="F214" s="6" t="n">
        <v>133035.47</v>
      </c>
    </row>
    <row r="215" customFormat="false" ht="15" hidden="false" customHeight="true" outlineLevel="0" collapsed="false">
      <c r="A215" s="5" t="s">
        <v>66</v>
      </c>
      <c r="B215" s="5" t="s">
        <v>512</v>
      </c>
      <c r="C215" s="5" t="s">
        <v>76</v>
      </c>
      <c r="D215" s="6"/>
      <c r="E215" s="6" t="n">
        <v>300</v>
      </c>
      <c r="F215" s="6" t="n">
        <v>133335.47</v>
      </c>
    </row>
    <row r="216" customFormat="false" ht="15" hidden="false" customHeight="true" outlineLevel="0" collapsed="false">
      <c r="A216" s="5" t="s">
        <v>66</v>
      </c>
      <c r="B216" s="5" t="s">
        <v>513</v>
      </c>
      <c r="C216" s="5" t="s">
        <v>76</v>
      </c>
      <c r="D216" s="6"/>
      <c r="E216" s="6" t="n">
        <v>200</v>
      </c>
      <c r="F216" s="6" t="n">
        <v>133535.47</v>
      </c>
    </row>
    <row r="217" customFormat="false" ht="15" hidden="false" customHeight="true" outlineLevel="0" collapsed="false">
      <c r="A217" s="5" t="s">
        <v>66</v>
      </c>
      <c r="B217" s="5" t="s">
        <v>514</v>
      </c>
      <c r="C217" s="5" t="s">
        <v>76</v>
      </c>
      <c r="D217" s="6"/>
      <c r="E217" s="6" t="n">
        <v>480</v>
      </c>
      <c r="F217" s="6" t="n">
        <v>134015.47</v>
      </c>
    </row>
    <row r="218" customFormat="false" ht="15" hidden="false" customHeight="true" outlineLevel="0" collapsed="false">
      <c r="A218" s="5" t="s">
        <v>66</v>
      </c>
      <c r="B218" s="5" t="s">
        <v>515</v>
      </c>
      <c r="C218" s="5" t="s">
        <v>76</v>
      </c>
      <c r="D218" s="6"/>
      <c r="E218" s="6" t="n">
        <v>100</v>
      </c>
      <c r="F218" s="6" t="n">
        <v>134115.47</v>
      </c>
    </row>
    <row r="219" customFormat="false" ht="15" hidden="false" customHeight="true" outlineLevel="0" collapsed="false">
      <c r="A219" s="5" t="s">
        <v>66</v>
      </c>
      <c r="B219" s="5" t="s">
        <v>516</v>
      </c>
      <c r="C219" s="5" t="s">
        <v>76</v>
      </c>
      <c r="D219" s="6"/>
      <c r="E219" s="6" t="n">
        <v>40</v>
      </c>
      <c r="F219" s="6" t="n">
        <v>134155.47</v>
      </c>
    </row>
    <row r="220" customFormat="false" ht="15" hidden="false" customHeight="true" outlineLevel="0" collapsed="false">
      <c r="A220" s="5" t="s">
        <v>66</v>
      </c>
      <c r="B220" s="5" t="s">
        <v>517</v>
      </c>
      <c r="C220" s="5" t="s">
        <v>76</v>
      </c>
      <c r="D220" s="6"/>
      <c r="E220" s="6" t="n">
        <v>60</v>
      </c>
      <c r="F220" s="6" t="n">
        <v>134215.47</v>
      </c>
    </row>
    <row r="221" customFormat="false" ht="15" hidden="false" customHeight="true" outlineLevel="0" collapsed="false">
      <c r="A221" s="5" t="s">
        <v>66</v>
      </c>
      <c r="B221" s="5" t="s">
        <v>518</v>
      </c>
      <c r="C221" s="5" t="s">
        <v>76</v>
      </c>
      <c r="D221" s="6"/>
      <c r="E221" s="6" t="n">
        <v>600</v>
      </c>
      <c r="F221" s="6" t="n">
        <v>134815.47</v>
      </c>
    </row>
    <row r="222" customFormat="false" ht="15" hidden="false" customHeight="true" outlineLevel="0" collapsed="false">
      <c r="A222" s="5" t="s">
        <v>66</v>
      </c>
      <c r="B222" s="5" t="s">
        <v>519</v>
      </c>
      <c r="C222" s="5" t="s">
        <v>76</v>
      </c>
      <c r="D222" s="6" t="n">
        <v>140</v>
      </c>
      <c r="E222" s="6"/>
      <c r="F222" s="6" t="n">
        <v>134675.47</v>
      </c>
    </row>
    <row r="223" customFormat="false" ht="15" hidden="false" customHeight="true" outlineLevel="0" collapsed="false">
      <c r="A223" s="5" t="s">
        <v>66</v>
      </c>
      <c r="B223" s="5" t="s">
        <v>520</v>
      </c>
      <c r="C223" s="5" t="s">
        <v>76</v>
      </c>
      <c r="D223" s="6"/>
      <c r="E223" s="6" t="n">
        <v>345</v>
      </c>
      <c r="F223" s="6" t="n">
        <v>135020.47</v>
      </c>
    </row>
    <row r="224" customFormat="false" ht="15" hidden="false" customHeight="true" outlineLevel="0" collapsed="false">
      <c r="A224" s="5" t="s">
        <v>66</v>
      </c>
      <c r="B224" s="5" t="s">
        <v>521</v>
      </c>
      <c r="C224" s="5" t="s">
        <v>76</v>
      </c>
      <c r="D224" s="6"/>
      <c r="E224" s="6" t="n">
        <v>80</v>
      </c>
      <c r="F224" s="6" t="n">
        <v>135100.47</v>
      </c>
    </row>
    <row r="225" customFormat="false" ht="15" hidden="false" customHeight="true" outlineLevel="0" collapsed="false">
      <c r="A225" s="5" t="s">
        <v>66</v>
      </c>
      <c r="B225" s="5" t="s">
        <v>522</v>
      </c>
      <c r="C225" s="5" t="s">
        <v>76</v>
      </c>
      <c r="D225" s="6"/>
      <c r="E225" s="6" t="n">
        <v>240</v>
      </c>
      <c r="F225" s="6" t="n">
        <v>135340.47</v>
      </c>
    </row>
    <row r="226" customFormat="false" ht="15" hidden="false" customHeight="true" outlineLevel="0" collapsed="false">
      <c r="A226" s="5" t="s">
        <v>66</v>
      </c>
      <c r="B226" s="5" t="s">
        <v>523</v>
      </c>
      <c r="C226" s="5" t="s">
        <v>76</v>
      </c>
      <c r="D226" s="6"/>
      <c r="E226" s="6" t="n">
        <v>200</v>
      </c>
      <c r="F226" s="6" t="n">
        <v>135540.47</v>
      </c>
    </row>
    <row r="227" customFormat="false" ht="15" hidden="false" customHeight="true" outlineLevel="0" collapsed="false">
      <c r="A227" s="5" t="s">
        <v>66</v>
      </c>
      <c r="B227" s="5" t="s">
        <v>524</v>
      </c>
      <c r="C227" s="5" t="s">
        <v>83</v>
      </c>
      <c r="D227" s="6" t="n">
        <v>10.31</v>
      </c>
      <c r="E227" s="6"/>
      <c r="F227" s="6" t="n">
        <v>135530.16</v>
      </c>
    </row>
    <row r="228" customFormat="false" ht="15" hidden="false" customHeight="true" outlineLevel="0" collapsed="false">
      <c r="A228" s="5" t="s">
        <v>66</v>
      </c>
      <c r="B228" s="5" t="s">
        <v>525</v>
      </c>
      <c r="C228" s="5" t="s">
        <v>76</v>
      </c>
      <c r="D228" s="6"/>
      <c r="E228" s="6" t="n">
        <v>80</v>
      </c>
      <c r="F228" s="6" t="n">
        <v>135610.16</v>
      </c>
    </row>
    <row r="229" customFormat="false" ht="15" hidden="false" customHeight="true" outlineLevel="0" collapsed="false">
      <c r="A229" s="5" t="s">
        <v>66</v>
      </c>
      <c r="B229" s="5" t="s">
        <v>526</v>
      </c>
      <c r="C229" s="5" t="s">
        <v>76</v>
      </c>
      <c r="D229" s="6"/>
      <c r="E229" s="6" t="n">
        <v>200</v>
      </c>
      <c r="F229" s="6" t="n">
        <v>135810.16</v>
      </c>
    </row>
    <row r="230" customFormat="false" ht="15" hidden="false" customHeight="true" outlineLevel="0" collapsed="false">
      <c r="A230" s="5" t="s">
        <v>66</v>
      </c>
      <c r="B230" s="5" t="s">
        <v>527</v>
      </c>
      <c r="C230" s="5" t="s">
        <v>76</v>
      </c>
      <c r="D230" s="6"/>
      <c r="E230" s="6" t="n">
        <v>700</v>
      </c>
      <c r="F230" s="6" t="n">
        <v>136510.16</v>
      </c>
    </row>
    <row r="231" customFormat="false" ht="15" hidden="false" customHeight="true" outlineLevel="0" collapsed="false">
      <c r="A231" s="5" t="s">
        <v>66</v>
      </c>
      <c r="B231" s="5" t="s">
        <v>528</v>
      </c>
      <c r="C231" s="5" t="s">
        <v>76</v>
      </c>
      <c r="D231" s="6"/>
      <c r="E231" s="6" t="n">
        <v>40</v>
      </c>
      <c r="F231" s="6" t="n">
        <v>136550.16</v>
      </c>
    </row>
    <row r="232" customFormat="false" ht="15" hidden="false" customHeight="true" outlineLevel="0" collapsed="false">
      <c r="A232" s="5" t="s">
        <v>66</v>
      </c>
      <c r="B232" s="5" t="s">
        <v>529</v>
      </c>
      <c r="C232" s="5" t="s">
        <v>76</v>
      </c>
      <c r="D232" s="6"/>
      <c r="E232" s="6" t="n">
        <v>80</v>
      </c>
      <c r="F232" s="6" t="n">
        <v>136630.16</v>
      </c>
    </row>
    <row r="233" customFormat="false" ht="15" hidden="false" customHeight="true" outlineLevel="0" collapsed="false">
      <c r="A233" s="5" t="s">
        <v>66</v>
      </c>
      <c r="B233" s="5" t="s">
        <v>530</v>
      </c>
      <c r="C233" s="5" t="s">
        <v>76</v>
      </c>
      <c r="D233" s="6"/>
      <c r="E233" s="6" t="n">
        <v>180</v>
      </c>
      <c r="F233" s="6" t="n">
        <v>136810.16</v>
      </c>
    </row>
    <row r="234" customFormat="false" ht="15" hidden="false" customHeight="true" outlineLevel="0" collapsed="false">
      <c r="A234" s="5" t="s">
        <v>66</v>
      </c>
      <c r="B234" s="5" t="s">
        <v>531</v>
      </c>
      <c r="C234" s="5" t="s">
        <v>76</v>
      </c>
      <c r="D234" s="6" t="n">
        <v>1</v>
      </c>
      <c r="E234" s="6"/>
      <c r="F234" s="6" t="n">
        <v>136809.16</v>
      </c>
    </row>
    <row r="235" customFormat="false" ht="15" hidden="false" customHeight="true" outlineLevel="0" collapsed="false">
      <c r="A235" s="11"/>
      <c r="B235" s="11"/>
      <c r="C235" s="7" t="s">
        <v>68</v>
      </c>
      <c r="D235" s="8" t="n">
        <f aca="false">SUM(D5:D234)</f>
        <v>38010.84</v>
      </c>
      <c r="E235" s="8" t="n">
        <f aca="false">SUM(E5:E234)</f>
        <v>174820</v>
      </c>
      <c r="F235" s="11"/>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70"/>
    <col collapsed="false" customWidth="true" hidden="false" outlineLevel="0" max="3" min="3" style="1" width="20"/>
    <col collapsed="false" customWidth="true" hidden="false" outlineLevel="0" max="6" min="4" style="1" width="15"/>
  </cols>
  <sheetData>
    <row r="1" customFormat="false" ht="15.75" hidden="false" customHeight="true" outlineLevel="0" collapsed="false">
      <c r="A1" s="2" t="s">
        <v>532</v>
      </c>
      <c r="B1" s="2"/>
      <c r="C1" s="2"/>
      <c r="D1" s="2"/>
      <c r="E1" s="2"/>
      <c r="F1" s="2"/>
    </row>
    <row r="2" customFormat="false" ht="15" hidden="false" customHeight="true" outlineLevel="0" collapsed="false">
      <c r="A2" s="3" t="s">
        <v>300</v>
      </c>
      <c r="B2" s="3"/>
      <c r="C2" s="3"/>
      <c r="D2" s="3"/>
      <c r="E2" s="3"/>
      <c r="F2" s="3"/>
    </row>
    <row r="4" customFormat="false" ht="15" hidden="false" customHeight="true" outlineLevel="0" collapsed="false">
      <c r="A4" s="26" t="s">
        <v>2</v>
      </c>
      <c r="B4" s="26" t="s">
        <v>120</v>
      </c>
      <c r="C4" s="26" t="s">
        <v>72</v>
      </c>
      <c r="D4" s="26" t="s">
        <v>73</v>
      </c>
      <c r="E4" s="26" t="s">
        <v>74</v>
      </c>
      <c r="F4" s="26" t="s">
        <v>301</v>
      </c>
    </row>
    <row r="5" customFormat="false" ht="15" hidden="false" customHeight="true" outlineLevel="0" collapsed="false">
      <c r="A5" s="5" t="s">
        <v>10</v>
      </c>
      <c r="B5" s="5" t="s">
        <v>533</v>
      </c>
      <c r="C5" s="5" t="s">
        <v>76</v>
      </c>
      <c r="D5" s="6"/>
      <c r="E5" s="6" t="n">
        <v>800</v>
      </c>
      <c r="F5" s="6" t="n">
        <v>73776.25</v>
      </c>
    </row>
    <row r="6" customFormat="false" ht="15" hidden="false" customHeight="true" outlineLevel="0" collapsed="false">
      <c r="A6" s="5" t="s">
        <v>10</v>
      </c>
      <c r="B6" s="5" t="s">
        <v>534</v>
      </c>
      <c r="C6" s="5" t="s">
        <v>76</v>
      </c>
      <c r="D6" s="6"/>
      <c r="E6" s="6" t="n">
        <v>2050</v>
      </c>
      <c r="F6" s="6" t="n">
        <v>75826.25</v>
      </c>
    </row>
    <row r="7" customFormat="false" ht="15" hidden="false" customHeight="true" outlineLevel="0" collapsed="false">
      <c r="A7" s="5" t="s">
        <v>10</v>
      </c>
      <c r="B7" s="5" t="s">
        <v>535</v>
      </c>
      <c r="C7" s="5" t="s">
        <v>76</v>
      </c>
      <c r="D7" s="6"/>
      <c r="E7" s="6" t="n">
        <v>4930</v>
      </c>
      <c r="F7" s="6" t="n">
        <v>80756.25</v>
      </c>
    </row>
    <row r="8" customFormat="false" ht="15" hidden="false" customHeight="true" outlineLevel="0" collapsed="false">
      <c r="A8" s="5" t="s">
        <v>10</v>
      </c>
      <c r="B8" s="5" t="s">
        <v>536</v>
      </c>
      <c r="C8" s="5" t="s">
        <v>76</v>
      </c>
      <c r="D8" s="6"/>
      <c r="E8" s="6" t="n">
        <v>1950</v>
      </c>
      <c r="F8" s="6" t="n">
        <v>82706.25</v>
      </c>
    </row>
    <row r="9" customFormat="false" ht="15" hidden="false" customHeight="true" outlineLevel="0" collapsed="false">
      <c r="A9" s="5" t="s">
        <v>10</v>
      </c>
      <c r="B9" s="5" t="s">
        <v>537</v>
      </c>
      <c r="C9" s="5" t="s">
        <v>76</v>
      </c>
      <c r="D9" s="6"/>
      <c r="E9" s="6" t="n">
        <v>18450</v>
      </c>
      <c r="F9" s="6" t="n">
        <v>101156.25</v>
      </c>
    </row>
    <row r="10" customFormat="false" ht="15" hidden="false" customHeight="true" outlineLevel="0" collapsed="false">
      <c r="A10" s="5" t="s">
        <v>10</v>
      </c>
      <c r="B10" s="5" t="s">
        <v>538</v>
      </c>
      <c r="C10" s="5" t="s">
        <v>76</v>
      </c>
      <c r="D10" s="6"/>
      <c r="E10" s="6" t="n">
        <v>130</v>
      </c>
      <c r="F10" s="6" t="n">
        <v>101286.25</v>
      </c>
    </row>
    <row r="11" customFormat="false" ht="15" hidden="false" customHeight="true" outlineLevel="0" collapsed="false">
      <c r="A11" s="5" t="s">
        <v>11</v>
      </c>
      <c r="B11" s="5" t="s">
        <v>539</v>
      </c>
      <c r="C11" s="5" t="s">
        <v>76</v>
      </c>
      <c r="D11" s="6"/>
      <c r="E11" s="6" t="n">
        <v>240</v>
      </c>
      <c r="F11" s="6" t="n">
        <v>101526.25</v>
      </c>
    </row>
    <row r="12" customFormat="false" ht="15" hidden="false" customHeight="true" outlineLevel="0" collapsed="false">
      <c r="A12" s="5" t="s">
        <v>11</v>
      </c>
      <c r="B12" s="5" t="s">
        <v>540</v>
      </c>
      <c r="C12" s="5" t="s">
        <v>79</v>
      </c>
      <c r="D12" s="6" t="n">
        <v>13319</v>
      </c>
      <c r="E12" s="6"/>
      <c r="F12" s="6" t="n">
        <v>88207.25</v>
      </c>
    </row>
    <row r="13" customFormat="false" ht="15" hidden="false" customHeight="true" outlineLevel="0" collapsed="false">
      <c r="A13" s="5" t="s">
        <v>11</v>
      </c>
      <c r="B13" s="5" t="s">
        <v>541</v>
      </c>
      <c r="C13" s="5" t="s">
        <v>76</v>
      </c>
      <c r="D13" s="6"/>
      <c r="E13" s="6" t="n">
        <v>28200</v>
      </c>
      <c r="F13" s="6" t="n">
        <v>116407.25</v>
      </c>
    </row>
    <row r="14" customFormat="false" ht="15" hidden="false" customHeight="true" outlineLevel="0" collapsed="false">
      <c r="A14" s="5" t="s">
        <v>12</v>
      </c>
      <c r="B14" s="5" t="s">
        <v>542</v>
      </c>
      <c r="C14" s="5" t="s">
        <v>76</v>
      </c>
      <c r="D14" s="6"/>
      <c r="E14" s="6" t="n">
        <v>920</v>
      </c>
      <c r="F14" s="6" t="n">
        <v>117327.25</v>
      </c>
    </row>
    <row r="15" customFormat="false" ht="15" hidden="false" customHeight="true" outlineLevel="0" collapsed="false">
      <c r="A15" s="5" t="s">
        <v>15</v>
      </c>
      <c r="B15" s="5" t="s">
        <v>543</v>
      </c>
      <c r="C15" s="5" t="s">
        <v>76</v>
      </c>
      <c r="D15" s="6"/>
      <c r="E15" s="6" t="n">
        <v>220</v>
      </c>
      <c r="F15" s="6" t="n">
        <v>117547.25</v>
      </c>
    </row>
    <row r="16" customFormat="false" ht="15" hidden="false" customHeight="true" outlineLevel="0" collapsed="false">
      <c r="A16" s="5" t="s">
        <v>15</v>
      </c>
      <c r="B16" s="5" t="s">
        <v>544</v>
      </c>
      <c r="C16" s="5" t="s">
        <v>76</v>
      </c>
      <c r="D16" s="6" t="n">
        <v>1500</v>
      </c>
      <c r="E16" s="6"/>
      <c r="F16" s="6" t="n">
        <v>116047.25</v>
      </c>
    </row>
    <row r="17" customFormat="false" ht="15" hidden="false" customHeight="true" outlineLevel="0" collapsed="false">
      <c r="A17" s="5" t="s">
        <v>17</v>
      </c>
      <c r="B17" s="5" t="s">
        <v>545</v>
      </c>
      <c r="C17" s="5" t="s">
        <v>76</v>
      </c>
      <c r="D17" s="6"/>
      <c r="E17" s="6" t="n">
        <v>29500</v>
      </c>
      <c r="F17" s="6" t="n">
        <v>145547.25</v>
      </c>
    </row>
    <row r="18" customFormat="false" ht="15" hidden="false" customHeight="true" outlineLevel="0" collapsed="false">
      <c r="A18" s="5" t="s">
        <v>17</v>
      </c>
      <c r="B18" s="5" t="s">
        <v>546</v>
      </c>
      <c r="C18" s="5" t="s">
        <v>76</v>
      </c>
      <c r="D18" s="6"/>
      <c r="E18" s="6" t="n">
        <v>3000</v>
      </c>
      <c r="F18" s="6" t="n">
        <v>148547.25</v>
      </c>
    </row>
    <row r="19" customFormat="false" ht="15" hidden="false" customHeight="true" outlineLevel="0" collapsed="false">
      <c r="A19" s="5" t="s">
        <v>17</v>
      </c>
      <c r="B19" s="5" t="s">
        <v>547</v>
      </c>
      <c r="C19" s="5" t="s">
        <v>76</v>
      </c>
      <c r="D19" s="6" t="n">
        <v>29500</v>
      </c>
      <c r="E19" s="6"/>
      <c r="F19" s="6" t="n">
        <v>119047.25</v>
      </c>
    </row>
    <row r="20" customFormat="false" ht="15" hidden="false" customHeight="true" outlineLevel="0" collapsed="false">
      <c r="A20" s="5" t="s">
        <v>17</v>
      </c>
      <c r="B20" s="5" t="s">
        <v>548</v>
      </c>
      <c r="C20" s="5" t="s">
        <v>76</v>
      </c>
      <c r="D20" s="6" t="n">
        <v>3000</v>
      </c>
      <c r="E20" s="6"/>
      <c r="F20" s="6" t="n">
        <v>116047.25</v>
      </c>
    </row>
    <row r="21" customFormat="false" ht="15" hidden="false" customHeight="true" outlineLevel="0" collapsed="false">
      <c r="A21" s="5" t="s">
        <v>18</v>
      </c>
      <c r="B21" s="5" t="s">
        <v>549</v>
      </c>
      <c r="C21" s="5" t="s">
        <v>76</v>
      </c>
      <c r="D21" s="6" t="n">
        <v>1500</v>
      </c>
      <c r="E21" s="6"/>
      <c r="F21" s="6" t="n">
        <v>114547.25</v>
      </c>
    </row>
    <row r="22" customFormat="false" ht="15" hidden="false" customHeight="true" outlineLevel="0" collapsed="false">
      <c r="A22" s="5" t="s">
        <v>18</v>
      </c>
      <c r="B22" s="5" t="s">
        <v>550</v>
      </c>
      <c r="C22" s="5" t="s">
        <v>76</v>
      </c>
      <c r="D22" s="6" t="n">
        <v>150</v>
      </c>
      <c r="E22" s="6"/>
      <c r="F22" s="6" t="n">
        <v>114397.25</v>
      </c>
    </row>
    <row r="23" customFormat="false" ht="15" hidden="false" customHeight="true" outlineLevel="0" collapsed="false">
      <c r="A23" s="5" t="s">
        <v>18</v>
      </c>
      <c r="B23" s="5" t="s">
        <v>551</v>
      </c>
      <c r="C23" s="5" t="s">
        <v>76</v>
      </c>
      <c r="D23" s="6" t="n">
        <v>32</v>
      </c>
      <c r="E23" s="6"/>
      <c r="F23" s="6" t="n">
        <v>114365.25</v>
      </c>
    </row>
    <row r="24" customFormat="false" ht="15" hidden="false" customHeight="true" outlineLevel="0" collapsed="false">
      <c r="A24" s="5" t="s">
        <v>18</v>
      </c>
      <c r="B24" s="5" t="s">
        <v>552</v>
      </c>
      <c r="C24" s="5" t="s">
        <v>76</v>
      </c>
      <c r="D24" s="6" t="n">
        <v>200</v>
      </c>
      <c r="E24" s="6"/>
      <c r="F24" s="6" t="n">
        <v>114165.25</v>
      </c>
    </row>
    <row r="25" customFormat="false" ht="15" hidden="false" customHeight="true" outlineLevel="0" collapsed="false">
      <c r="A25" s="5" t="s">
        <v>18</v>
      </c>
      <c r="B25" s="5" t="s">
        <v>553</v>
      </c>
      <c r="C25" s="5" t="s">
        <v>76</v>
      </c>
      <c r="D25" s="6"/>
      <c r="E25" s="6" t="n">
        <v>2000</v>
      </c>
      <c r="F25" s="6" t="n">
        <v>116165.25</v>
      </c>
    </row>
    <row r="26" customFormat="false" ht="15" hidden="false" customHeight="true" outlineLevel="0" collapsed="false">
      <c r="A26" s="5" t="s">
        <v>18</v>
      </c>
      <c r="B26" s="5" t="s">
        <v>554</v>
      </c>
      <c r="C26" s="5" t="s">
        <v>76</v>
      </c>
      <c r="D26" s="6" t="n">
        <v>70</v>
      </c>
      <c r="E26" s="6"/>
      <c r="F26" s="6" t="n">
        <v>116095.25</v>
      </c>
    </row>
    <row r="27" customFormat="false" ht="15" hidden="false" customHeight="true" outlineLevel="0" collapsed="false">
      <c r="A27" s="5" t="s">
        <v>19</v>
      </c>
      <c r="B27" s="5" t="s">
        <v>555</v>
      </c>
      <c r="C27" s="5" t="s">
        <v>76</v>
      </c>
      <c r="D27" s="6" t="n">
        <v>30</v>
      </c>
      <c r="E27" s="6"/>
      <c r="F27" s="6" t="n">
        <v>116065.25</v>
      </c>
    </row>
    <row r="28" customFormat="false" ht="15" hidden="false" customHeight="true" outlineLevel="0" collapsed="false">
      <c r="A28" s="5" t="s">
        <v>19</v>
      </c>
      <c r="B28" s="5" t="s">
        <v>556</v>
      </c>
      <c r="C28" s="5" t="s">
        <v>76</v>
      </c>
      <c r="D28" s="6" t="n">
        <v>1650</v>
      </c>
      <c r="E28" s="6"/>
      <c r="F28" s="6" t="n">
        <v>114415.25</v>
      </c>
    </row>
    <row r="29" customFormat="false" ht="15" hidden="false" customHeight="true" outlineLevel="0" collapsed="false">
      <c r="A29" s="5" t="s">
        <v>19</v>
      </c>
      <c r="B29" s="5" t="s">
        <v>557</v>
      </c>
      <c r="C29" s="5" t="s">
        <v>76</v>
      </c>
      <c r="D29" s="6" t="n">
        <v>3500</v>
      </c>
      <c r="E29" s="6"/>
      <c r="F29" s="6" t="n">
        <v>110915.25</v>
      </c>
    </row>
    <row r="30" customFormat="false" ht="15" hidden="false" customHeight="true" outlineLevel="0" collapsed="false">
      <c r="A30" s="5" t="s">
        <v>20</v>
      </c>
      <c r="B30" s="5" t="s">
        <v>558</v>
      </c>
      <c r="C30" s="5" t="s">
        <v>76</v>
      </c>
      <c r="D30" s="6" t="n">
        <v>4685</v>
      </c>
      <c r="E30" s="6"/>
      <c r="F30" s="6" t="n">
        <v>106230.25</v>
      </c>
    </row>
    <row r="31" customFormat="false" ht="15" hidden="false" customHeight="true" outlineLevel="0" collapsed="false">
      <c r="A31" s="5" t="s">
        <v>20</v>
      </c>
      <c r="B31" s="5" t="s">
        <v>559</v>
      </c>
      <c r="C31" s="5" t="s">
        <v>76</v>
      </c>
      <c r="D31" s="6" t="n">
        <v>30</v>
      </c>
      <c r="E31" s="6"/>
      <c r="F31" s="6" t="n">
        <v>106200.25</v>
      </c>
    </row>
    <row r="32" customFormat="false" ht="15" hidden="false" customHeight="true" outlineLevel="0" collapsed="false">
      <c r="A32" s="5" t="s">
        <v>20</v>
      </c>
      <c r="B32" s="5" t="s">
        <v>560</v>
      </c>
      <c r="C32" s="5" t="s">
        <v>76</v>
      </c>
      <c r="D32" s="6" t="n">
        <v>20</v>
      </c>
      <c r="E32" s="6"/>
      <c r="F32" s="6" t="n">
        <v>106180.25</v>
      </c>
    </row>
    <row r="33" customFormat="false" ht="15" hidden="false" customHeight="true" outlineLevel="0" collapsed="false">
      <c r="A33" s="5" t="s">
        <v>20</v>
      </c>
      <c r="B33" s="5" t="s">
        <v>561</v>
      </c>
      <c r="C33" s="5" t="s">
        <v>76</v>
      </c>
      <c r="D33" s="6" t="n">
        <v>40</v>
      </c>
      <c r="E33" s="6"/>
      <c r="F33" s="6" t="n">
        <v>106140.25</v>
      </c>
    </row>
    <row r="34" customFormat="false" ht="15" hidden="false" customHeight="true" outlineLevel="0" collapsed="false">
      <c r="A34" s="5" t="s">
        <v>20</v>
      </c>
      <c r="B34" s="5" t="s">
        <v>562</v>
      </c>
      <c r="C34" s="5" t="s">
        <v>76</v>
      </c>
      <c r="D34" s="6" t="n">
        <v>50</v>
      </c>
      <c r="E34" s="6"/>
      <c r="F34" s="6" t="n">
        <v>106090.25</v>
      </c>
    </row>
    <row r="35" customFormat="false" ht="15" hidden="false" customHeight="true" outlineLevel="0" collapsed="false">
      <c r="A35" s="5" t="s">
        <v>21</v>
      </c>
      <c r="B35" s="5" t="s">
        <v>563</v>
      </c>
      <c r="C35" s="5" t="s">
        <v>76</v>
      </c>
      <c r="D35" s="6" t="n">
        <v>900</v>
      </c>
      <c r="E35" s="6"/>
      <c r="F35" s="6" t="n">
        <v>105190.25</v>
      </c>
    </row>
    <row r="36" customFormat="false" ht="15" hidden="false" customHeight="true" outlineLevel="0" collapsed="false">
      <c r="A36" s="5" t="s">
        <v>21</v>
      </c>
      <c r="B36" s="5" t="s">
        <v>564</v>
      </c>
      <c r="C36" s="5" t="s">
        <v>76</v>
      </c>
      <c r="D36" s="6"/>
      <c r="E36" s="6" t="n">
        <v>1500</v>
      </c>
      <c r="F36" s="6" t="n">
        <v>106690.25</v>
      </c>
    </row>
    <row r="37" customFormat="false" ht="15" hidden="false" customHeight="true" outlineLevel="0" collapsed="false">
      <c r="A37" s="5" t="s">
        <v>21</v>
      </c>
      <c r="B37" s="5" t="s">
        <v>565</v>
      </c>
      <c r="C37" s="5" t="s">
        <v>76</v>
      </c>
      <c r="D37" s="6" t="n">
        <v>100</v>
      </c>
      <c r="E37" s="6"/>
      <c r="F37" s="6" t="n">
        <v>106590.25</v>
      </c>
    </row>
    <row r="38" customFormat="false" ht="15" hidden="false" customHeight="true" outlineLevel="0" collapsed="false">
      <c r="A38" s="5" t="s">
        <v>21</v>
      </c>
      <c r="B38" s="5" t="s">
        <v>566</v>
      </c>
      <c r="C38" s="5" t="s">
        <v>76</v>
      </c>
      <c r="D38" s="6" t="n">
        <v>200</v>
      </c>
      <c r="E38" s="6"/>
      <c r="F38" s="6" t="n">
        <v>106390.25</v>
      </c>
    </row>
    <row r="39" customFormat="false" ht="15" hidden="false" customHeight="true" outlineLevel="0" collapsed="false">
      <c r="A39" s="5" t="s">
        <v>21</v>
      </c>
      <c r="B39" s="5" t="s">
        <v>567</v>
      </c>
      <c r="C39" s="5" t="s">
        <v>76</v>
      </c>
      <c r="D39" s="6"/>
      <c r="E39" s="6" t="n">
        <v>250</v>
      </c>
      <c r="F39" s="6" t="n">
        <v>106640.25</v>
      </c>
    </row>
    <row r="40" customFormat="false" ht="15" hidden="false" customHeight="true" outlineLevel="0" collapsed="false">
      <c r="A40" s="5" t="s">
        <v>22</v>
      </c>
      <c r="B40" s="5" t="s">
        <v>568</v>
      </c>
      <c r="C40" s="5" t="s">
        <v>76</v>
      </c>
      <c r="D40" s="6" t="n">
        <v>6734</v>
      </c>
      <c r="E40" s="6"/>
      <c r="F40" s="6" t="n">
        <v>99906.25</v>
      </c>
    </row>
    <row r="41" customFormat="false" ht="15" hidden="false" customHeight="true" outlineLevel="0" collapsed="false">
      <c r="A41" s="5" t="s">
        <v>22</v>
      </c>
      <c r="B41" s="5" t="s">
        <v>569</v>
      </c>
      <c r="C41" s="5" t="s">
        <v>76</v>
      </c>
      <c r="D41" s="6" t="n">
        <v>20</v>
      </c>
      <c r="E41" s="6"/>
      <c r="F41" s="6" t="n">
        <v>99886.25</v>
      </c>
    </row>
    <row r="42" customFormat="false" ht="15" hidden="false" customHeight="true" outlineLevel="0" collapsed="false">
      <c r="A42" s="5" t="s">
        <v>22</v>
      </c>
      <c r="B42" s="5" t="s">
        <v>570</v>
      </c>
      <c r="C42" s="5" t="s">
        <v>76</v>
      </c>
      <c r="D42" s="6" t="n">
        <v>1000</v>
      </c>
      <c r="E42" s="6"/>
      <c r="F42" s="6" t="n">
        <v>98886.25</v>
      </c>
    </row>
    <row r="43" customFormat="false" ht="15" hidden="false" customHeight="true" outlineLevel="0" collapsed="false">
      <c r="A43" s="5" t="s">
        <v>22</v>
      </c>
      <c r="B43" s="5" t="s">
        <v>571</v>
      </c>
      <c r="C43" s="5" t="s">
        <v>76</v>
      </c>
      <c r="D43" s="6" t="n">
        <v>160</v>
      </c>
      <c r="E43" s="6"/>
      <c r="F43" s="6" t="n">
        <v>98726.25</v>
      </c>
    </row>
    <row r="44" customFormat="false" ht="15" hidden="false" customHeight="true" outlineLevel="0" collapsed="false">
      <c r="A44" s="5" t="s">
        <v>22</v>
      </c>
      <c r="B44" s="5" t="s">
        <v>572</v>
      </c>
      <c r="C44" s="5" t="s">
        <v>76</v>
      </c>
      <c r="D44" s="6"/>
      <c r="E44" s="6" t="n">
        <v>1</v>
      </c>
      <c r="F44" s="6" t="n">
        <v>98727.25</v>
      </c>
    </row>
    <row r="45" customFormat="false" ht="15" hidden="false" customHeight="true" outlineLevel="0" collapsed="false">
      <c r="A45" s="5" t="s">
        <v>22</v>
      </c>
      <c r="B45" s="5" t="s">
        <v>573</v>
      </c>
      <c r="C45" s="5" t="s">
        <v>76</v>
      </c>
      <c r="D45" s="6"/>
      <c r="E45" s="6" t="n">
        <v>800</v>
      </c>
      <c r="F45" s="6" t="n">
        <v>99527.25</v>
      </c>
    </row>
    <row r="46" customFormat="false" ht="15" hidden="false" customHeight="true" outlineLevel="0" collapsed="false">
      <c r="A46" s="5" t="s">
        <v>23</v>
      </c>
      <c r="B46" s="5" t="s">
        <v>574</v>
      </c>
      <c r="C46" s="5" t="s">
        <v>76</v>
      </c>
      <c r="D46" s="6" t="n">
        <v>50</v>
      </c>
      <c r="E46" s="6"/>
      <c r="F46" s="6" t="n">
        <v>99477.25</v>
      </c>
    </row>
    <row r="47" customFormat="false" ht="15" hidden="false" customHeight="true" outlineLevel="0" collapsed="false">
      <c r="A47" s="5" t="s">
        <v>23</v>
      </c>
      <c r="B47" s="5" t="s">
        <v>575</v>
      </c>
      <c r="C47" s="5" t="s">
        <v>76</v>
      </c>
      <c r="D47" s="6" t="n">
        <v>200</v>
      </c>
      <c r="E47" s="6"/>
      <c r="F47" s="6" t="n">
        <v>99277.25</v>
      </c>
    </row>
    <row r="48" customFormat="false" ht="15" hidden="false" customHeight="true" outlineLevel="0" collapsed="false">
      <c r="A48" s="5" t="s">
        <v>23</v>
      </c>
      <c r="B48" s="5" t="s">
        <v>576</v>
      </c>
      <c r="C48" s="5" t="s">
        <v>76</v>
      </c>
      <c r="D48" s="6" t="n">
        <v>40</v>
      </c>
      <c r="E48" s="6"/>
      <c r="F48" s="6" t="n">
        <v>99237.25</v>
      </c>
    </row>
    <row r="49" customFormat="false" ht="15" hidden="false" customHeight="true" outlineLevel="0" collapsed="false">
      <c r="A49" s="5" t="s">
        <v>23</v>
      </c>
      <c r="B49" s="5" t="s">
        <v>577</v>
      </c>
      <c r="C49" s="5" t="s">
        <v>76</v>
      </c>
      <c r="D49" s="6" t="n">
        <v>150</v>
      </c>
      <c r="E49" s="6"/>
      <c r="F49" s="6" t="n">
        <v>99087.25</v>
      </c>
    </row>
    <row r="50" customFormat="false" ht="15" hidden="false" customHeight="true" outlineLevel="0" collapsed="false">
      <c r="A50" s="5" t="s">
        <v>23</v>
      </c>
      <c r="B50" s="5" t="s">
        <v>578</v>
      </c>
      <c r="C50" s="5" t="s">
        <v>76</v>
      </c>
      <c r="D50" s="6" t="n">
        <v>1200</v>
      </c>
      <c r="E50" s="6"/>
      <c r="F50" s="6" t="n">
        <v>97887.25</v>
      </c>
    </row>
    <row r="51" customFormat="false" ht="15" hidden="false" customHeight="true" outlineLevel="0" collapsed="false">
      <c r="A51" s="5" t="s">
        <v>23</v>
      </c>
      <c r="B51" s="5" t="s">
        <v>579</v>
      </c>
      <c r="C51" s="5" t="s">
        <v>76</v>
      </c>
      <c r="D51" s="6" t="n">
        <v>40</v>
      </c>
      <c r="E51" s="6"/>
      <c r="F51" s="6" t="n">
        <v>97847.25</v>
      </c>
    </row>
    <row r="52" customFormat="false" ht="15" hidden="false" customHeight="true" outlineLevel="0" collapsed="false">
      <c r="A52" s="5" t="s">
        <v>24</v>
      </c>
      <c r="B52" s="5" t="s">
        <v>580</v>
      </c>
      <c r="C52" s="5" t="s">
        <v>76</v>
      </c>
      <c r="D52" s="6" t="n">
        <v>200</v>
      </c>
      <c r="E52" s="6"/>
      <c r="F52" s="6" t="n">
        <v>97647.25</v>
      </c>
    </row>
    <row r="53" customFormat="false" ht="15" hidden="false" customHeight="true" outlineLevel="0" collapsed="false">
      <c r="A53" s="5" t="s">
        <v>24</v>
      </c>
      <c r="B53" s="5" t="s">
        <v>581</v>
      </c>
      <c r="C53" s="5" t="s">
        <v>76</v>
      </c>
      <c r="D53" s="6"/>
      <c r="E53" s="6" t="n">
        <v>1000</v>
      </c>
      <c r="F53" s="6" t="n">
        <v>98647.25</v>
      </c>
    </row>
    <row r="54" customFormat="false" ht="15" hidden="false" customHeight="true" outlineLevel="0" collapsed="false">
      <c r="A54" s="5" t="s">
        <v>24</v>
      </c>
      <c r="B54" s="5" t="s">
        <v>582</v>
      </c>
      <c r="C54" s="5" t="s">
        <v>76</v>
      </c>
      <c r="D54" s="6" t="n">
        <v>70</v>
      </c>
      <c r="E54" s="6"/>
      <c r="F54" s="6" t="n">
        <v>98577.25</v>
      </c>
    </row>
    <row r="55" customFormat="false" ht="15" hidden="false" customHeight="true" outlineLevel="0" collapsed="false">
      <c r="A55" s="5" t="s">
        <v>24</v>
      </c>
      <c r="B55" s="5" t="s">
        <v>583</v>
      </c>
      <c r="C55" s="5" t="s">
        <v>76</v>
      </c>
      <c r="D55" s="6" t="n">
        <v>3000</v>
      </c>
      <c r="E55" s="6"/>
      <c r="F55" s="6" t="n">
        <v>95577.25</v>
      </c>
    </row>
    <row r="56" customFormat="false" ht="15" hidden="false" customHeight="true" outlineLevel="0" collapsed="false">
      <c r="A56" s="5" t="s">
        <v>25</v>
      </c>
      <c r="B56" s="5" t="s">
        <v>584</v>
      </c>
      <c r="C56" s="5" t="s">
        <v>76</v>
      </c>
      <c r="D56" s="6" t="n">
        <v>200</v>
      </c>
      <c r="E56" s="6"/>
      <c r="F56" s="6" t="n">
        <v>95377.25</v>
      </c>
    </row>
    <row r="57" customFormat="false" ht="15" hidden="false" customHeight="true" outlineLevel="0" collapsed="false">
      <c r="A57" s="5" t="s">
        <v>25</v>
      </c>
      <c r="B57" s="5" t="s">
        <v>585</v>
      </c>
      <c r="C57" s="5" t="s">
        <v>76</v>
      </c>
      <c r="D57" s="6" t="n">
        <v>8400</v>
      </c>
      <c r="E57" s="6"/>
      <c r="F57" s="6" t="n">
        <v>86977.25</v>
      </c>
    </row>
    <row r="58" customFormat="false" ht="15" hidden="false" customHeight="true" outlineLevel="0" collapsed="false">
      <c r="A58" s="5" t="s">
        <v>25</v>
      </c>
      <c r="B58" s="5" t="s">
        <v>586</v>
      </c>
      <c r="C58" s="5" t="s">
        <v>76</v>
      </c>
      <c r="D58" s="6" t="n">
        <v>20000</v>
      </c>
      <c r="E58" s="6"/>
      <c r="F58" s="6" t="n">
        <v>66977.25</v>
      </c>
    </row>
    <row r="59" customFormat="false" ht="15" hidden="false" customHeight="true" outlineLevel="0" collapsed="false">
      <c r="A59" s="5" t="s">
        <v>25</v>
      </c>
      <c r="B59" s="5" t="s">
        <v>587</v>
      </c>
      <c r="C59" s="5" t="s">
        <v>76</v>
      </c>
      <c r="D59" s="6" t="n">
        <v>31000</v>
      </c>
      <c r="E59" s="6"/>
      <c r="F59" s="6" t="n">
        <v>35977.25</v>
      </c>
    </row>
    <row r="60" customFormat="false" ht="15" hidden="false" customHeight="true" outlineLevel="0" collapsed="false">
      <c r="A60" s="5" t="s">
        <v>25</v>
      </c>
      <c r="B60" s="5" t="s">
        <v>588</v>
      </c>
      <c r="C60" s="5" t="s">
        <v>76</v>
      </c>
      <c r="D60" s="6" t="n">
        <v>500</v>
      </c>
      <c r="E60" s="6"/>
      <c r="F60" s="6" t="n">
        <v>35477.25</v>
      </c>
    </row>
    <row r="61" customFormat="false" ht="15" hidden="false" customHeight="true" outlineLevel="0" collapsed="false">
      <c r="A61" s="5" t="s">
        <v>25</v>
      </c>
      <c r="B61" s="5" t="s">
        <v>589</v>
      </c>
      <c r="C61" s="5" t="s">
        <v>76</v>
      </c>
      <c r="D61" s="6" t="n">
        <v>300</v>
      </c>
      <c r="E61" s="6"/>
      <c r="F61" s="6" t="n">
        <v>35177.25</v>
      </c>
    </row>
    <row r="62" customFormat="false" ht="15" hidden="false" customHeight="true" outlineLevel="0" collapsed="false">
      <c r="A62" s="5" t="s">
        <v>25</v>
      </c>
      <c r="B62" s="5" t="s">
        <v>590</v>
      </c>
      <c r="C62" s="5" t="s">
        <v>76</v>
      </c>
      <c r="D62" s="6" t="n">
        <v>100</v>
      </c>
      <c r="E62" s="6"/>
      <c r="F62" s="6" t="n">
        <v>35077.25</v>
      </c>
    </row>
    <row r="63" customFormat="false" ht="15" hidden="false" customHeight="true" outlineLevel="0" collapsed="false">
      <c r="A63" s="5" t="s">
        <v>25</v>
      </c>
      <c r="B63" s="5" t="s">
        <v>591</v>
      </c>
      <c r="C63" s="5" t="s">
        <v>76</v>
      </c>
      <c r="D63" s="6" t="n">
        <v>150</v>
      </c>
      <c r="E63" s="6"/>
      <c r="F63" s="6" t="n">
        <v>34927.25</v>
      </c>
    </row>
    <row r="64" customFormat="false" ht="15" hidden="false" customHeight="true" outlineLevel="0" collapsed="false">
      <c r="A64" s="5" t="s">
        <v>26</v>
      </c>
      <c r="B64" s="5" t="s">
        <v>592</v>
      </c>
      <c r="C64" s="5" t="s">
        <v>76</v>
      </c>
      <c r="D64" s="6" t="n">
        <v>45</v>
      </c>
      <c r="E64" s="6"/>
      <c r="F64" s="6" t="n">
        <v>34882.25</v>
      </c>
    </row>
    <row r="65" customFormat="false" ht="15" hidden="false" customHeight="true" outlineLevel="0" collapsed="false">
      <c r="A65" s="5" t="s">
        <v>26</v>
      </c>
      <c r="B65" s="5" t="s">
        <v>593</v>
      </c>
      <c r="C65" s="5" t="s">
        <v>76</v>
      </c>
      <c r="D65" s="6"/>
      <c r="E65" s="6" t="n">
        <v>1</v>
      </c>
      <c r="F65" s="6" t="n">
        <v>34883.25</v>
      </c>
    </row>
    <row r="66" customFormat="false" ht="15" hidden="false" customHeight="true" outlineLevel="0" collapsed="false">
      <c r="A66" s="5" t="s">
        <v>26</v>
      </c>
      <c r="B66" s="5" t="s">
        <v>594</v>
      </c>
      <c r="C66" s="5" t="s">
        <v>76</v>
      </c>
      <c r="D66" s="6" t="n">
        <v>20</v>
      </c>
      <c r="E66" s="6"/>
      <c r="F66" s="6" t="n">
        <v>34863.25</v>
      </c>
    </row>
    <row r="67" customFormat="false" ht="15" hidden="false" customHeight="true" outlineLevel="0" collapsed="false">
      <c r="A67" s="5" t="s">
        <v>26</v>
      </c>
      <c r="B67" s="5" t="s">
        <v>595</v>
      </c>
      <c r="C67" s="5" t="s">
        <v>76</v>
      </c>
      <c r="D67" s="6" t="n">
        <v>200</v>
      </c>
      <c r="E67" s="6"/>
      <c r="F67" s="6" t="n">
        <v>34663.25</v>
      </c>
    </row>
    <row r="68" customFormat="false" ht="15" hidden="false" customHeight="true" outlineLevel="0" collapsed="false">
      <c r="A68" s="5" t="s">
        <v>27</v>
      </c>
      <c r="B68" s="5" t="s">
        <v>596</v>
      </c>
      <c r="C68" s="5" t="s">
        <v>76</v>
      </c>
      <c r="D68" s="6" t="n">
        <v>1029</v>
      </c>
      <c r="E68" s="6"/>
      <c r="F68" s="6" t="n">
        <v>33634.25</v>
      </c>
    </row>
    <row r="69" customFormat="false" ht="15" hidden="false" customHeight="true" outlineLevel="0" collapsed="false">
      <c r="A69" s="5" t="s">
        <v>27</v>
      </c>
      <c r="B69" s="5" t="s">
        <v>597</v>
      </c>
      <c r="C69" s="5" t="s">
        <v>76</v>
      </c>
      <c r="D69" s="6" t="n">
        <v>200</v>
      </c>
      <c r="E69" s="6"/>
      <c r="F69" s="6" t="n">
        <v>33434.25</v>
      </c>
    </row>
    <row r="70" customFormat="false" ht="15" hidden="false" customHeight="true" outlineLevel="0" collapsed="false">
      <c r="A70" s="5" t="s">
        <v>27</v>
      </c>
      <c r="B70" s="5" t="s">
        <v>598</v>
      </c>
      <c r="C70" s="5" t="s">
        <v>76</v>
      </c>
      <c r="D70" s="6" t="n">
        <v>125</v>
      </c>
      <c r="E70" s="6"/>
      <c r="F70" s="6" t="n">
        <v>33309.25</v>
      </c>
    </row>
    <row r="71" customFormat="false" ht="15" hidden="false" customHeight="true" outlineLevel="0" collapsed="false">
      <c r="A71" s="5" t="s">
        <v>28</v>
      </c>
      <c r="B71" s="5" t="s">
        <v>599</v>
      </c>
      <c r="C71" s="5" t="s">
        <v>76</v>
      </c>
      <c r="D71" s="6" t="n">
        <v>8300</v>
      </c>
      <c r="E71" s="6"/>
      <c r="F71" s="6" t="n">
        <v>25009.25</v>
      </c>
    </row>
    <row r="72" customFormat="false" ht="15" hidden="false" customHeight="true" outlineLevel="0" collapsed="false">
      <c r="A72" s="5" t="s">
        <v>28</v>
      </c>
      <c r="B72" s="5" t="s">
        <v>600</v>
      </c>
      <c r="C72" s="5" t="s">
        <v>76</v>
      </c>
      <c r="D72" s="6" t="n">
        <v>90</v>
      </c>
      <c r="E72" s="6"/>
      <c r="F72" s="6" t="n">
        <v>24919.25</v>
      </c>
    </row>
    <row r="73" customFormat="false" ht="15" hidden="false" customHeight="true" outlineLevel="0" collapsed="false">
      <c r="A73" s="5" t="s">
        <v>28</v>
      </c>
      <c r="B73" s="5" t="s">
        <v>590</v>
      </c>
      <c r="C73" s="5" t="s">
        <v>76</v>
      </c>
      <c r="D73" s="6" t="n">
        <v>500</v>
      </c>
      <c r="E73" s="6"/>
      <c r="F73" s="6" t="n">
        <v>24419.25</v>
      </c>
    </row>
    <row r="74" customFormat="false" ht="15" hidden="false" customHeight="true" outlineLevel="0" collapsed="false">
      <c r="A74" s="5" t="s">
        <v>28</v>
      </c>
      <c r="B74" s="5" t="s">
        <v>601</v>
      </c>
      <c r="C74" s="5" t="s">
        <v>76</v>
      </c>
      <c r="D74" s="6" t="n">
        <v>100</v>
      </c>
      <c r="E74" s="6"/>
      <c r="F74" s="6" t="n">
        <v>24319.25</v>
      </c>
    </row>
    <row r="75" customFormat="false" ht="15" hidden="false" customHeight="true" outlineLevel="0" collapsed="false">
      <c r="A75" s="5" t="s">
        <v>29</v>
      </c>
      <c r="B75" s="5" t="s">
        <v>602</v>
      </c>
      <c r="C75" s="5" t="s">
        <v>76</v>
      </c>
      <c r="D75" s="6" t="n">
        <v>250</v>
      </c>
      <c r="E75" s="6"/>
      <c r="F75" s="6" t="n">
        <v>24069.25</v>
      </c>
    </row>
    <row r="76" customFormat="false" ht="15" hidden="false" customHeight="true" outlineLevel="0" collapsed="false">
      <c r="A76" s="5" t="s">
        <v>29</v>
      </c>
      <c r="B76" s="5" t="s">
        <v>603</v>
      </c>
      <c r="C76" s="5" t="s">
        <v>76</v>
      </c>
      <c r="D76" s="6" t="n">
        <v>11</v>
      </c>
      <c r="E76" s="6"/>
      <c r="F76" s="6" t="n">
        <v>24058.25</v>
      </c>
    </row>
    <row r="77" customFormat="false" ht="15" hidden="false" customHeight="true" outlineLevel="0" collapsed="false">
      <c r="A77" s="5" t="s">
        <v>29</v>
      </c>
      <c r="B77" s="5" t="s">
        <v>604</v>
      </c>
      <c r="C77" s="5" t="s">
        <v>76</v>
      </c>
      <c r="D77" s="6" t="n">
        <v>500</v>
      </c>
      <c r="E77" s="6"/>
      <c r="F77" s="6" t="n">
        <v>23558.25</v>
      </c>
    </row>
    <row r="78" customFormat="false" ht="15" hidden="false" customHeight="true" outlineLevel="0" collapsed="false">
      <c r="A78" s="5" t="s">
        <v>29</v>
      </c>
      <c r="B78" s="5" t="s">
        <v>605</v>
      </c>
      <c r="C78" s="5" t="s">
        <v>76</v>
      </c>
      <c r="D78" s="6"/>
      <c r="E78" s="6" t="n">
        <v>500</v>
      </c>
      <c r="F78" s="6" t="n">
        <v>24058.25</v>
      </c>
    </row>
    <row r="79" customFormat="false" ht="15" hidden="false" customHeight="true" outlineLevel="0" collapsed="false">
      <c r="A79" s="5" t="s">
        <v>29</v>
      </c>
      <c r="B79" s="5" t="s">
        <v>606</v>
      </c>
      <c r="C79" s="5" t="s">
        <v>76</v>
      </c>
      <c r="D79" s="6"/>
      <c r="E79" s="6" t="n">
        <v>180</v>
      </c>
      <c r="F79" s="6" t="n">
        <v>24238.25</v>
      </c>
    </row>
    <row r="80" customFormat="false" ht="15" hidden="false" customHeight="true" outlineLevel="0" collapsed="false">
      <c r="A80" s="5" t="s">
        <v>29</v>
      </c>
      <c r="B80" s="5" t="s">
        <v>607</v>
      </c>
      <c r="C80" s="5" t="s">
        <v>76</v>
      </c>
      <c r="D80" s="6" t="n">
        <v>20</v>
      </c>
      <c r="E80" s="6"/>
      <c r="F80" s="6" t="n">
        <v>24218.25</v>
      </c>
    </row>
    <row r="81" customFormat="false" ht="15" hidden="false" customHeight="true" outlineLevel="0" collapsed="false">
      <c r="A81" s="5" t="s">
        <v>30</v>
      </c>
      <c r="B81" s="5" t="s">
        <v>608</v>
      </c>
      <c r="C81" s="5" t="s">
        <v>76</v>
      </c>
      <c r="D81" s="6"/>
      <c r="E81" s="6" t="n">
        <v>10</v>
      </c>
      <c r="F81" s="6" t="n">
        <v>24228.25</v>
      </c>
    </row>
    <row r="82" customFormat="false" ht="15" hidden="false" customHeight="true" outlineLevel="0" collapsed="false">
      <c r="A82" s="5" t="s">
        <v>30</v>
      </c>
      <c r="B82" s="5" t="s">
        <v>609</v>
      </c>
      <c r="C82" s="5" t="s">
        <v>76</v>
      </c>
      <c r="D82" s="6"/>
      <c r="E82" s="6" t="n">
        <v>860</v>
      </c>
      <c r="F82" s="6" t="n">
        <v>25088.25</v>
      </c>
    </row>
    <row r="83" customFormat="false" ht="15" hidden="false" customHeight="true" outlineLevel="0" collapsed="false">
      <c r="A83" s="5" t="s">
        <v>30</v>
      </c>
      <c r="B83" s="5" t="s">
        <v>610</v>
      </c>
      <c r="C83" s="5" t="s">
        <v>76</v>
      </c>
      <c r="D83" s="6" t="n">
        <v>200</v>
      </c>
      <c r="E83" s="6"/>
      <c r="F83" s="6" t="n">
        <v>24888.25</v>
      </c>
    </row>
    <row r="84" customFormat="false" ht="15" hidden="false" customHeight="true" outlineLevel="0" collapsed="false">
      <c r="A84" s="5" t="s">
        <v>30</v>
      </c>
      <c r="B84" s="5" t="s">
        <v>611</v>
      </c>
      <c r="C84" s="5" t="s">
        <v>76</v>
      </c>
      <c r="D84" s="6" t="n">
        <v>50</v>
      </c>
      <c r="E84" s="6"/>
      <c r="F84" s="6" t="n">
        <v>24838.25</v>
      </c>
    </row>
    <row r="85" customFormat="false" ht="15" hidden="false" customHeight="true" outlineLevel="0" collapsed="false">
      <c r="A85" s="5" t="s">
        <v>30</v>
      </c>
      <c r="B85" s="5" t="s">
        <v>612</v>
      </c>
      <c r="C85" s="5" t="s">
        <v>76</v>
      </c>
      <c r="D85" s="6" t="n">
        <v>20</v>
      </c>
      <c r="E85" s="6"/>
      <c r="F85" s="6" t="n">
        <v>24818.25</v>
      </c>
    </row>
    <row r="86" customFormat="false" ht="15" hidden="false" customHeight="true" outlineLevel="0" collapsed="false">
      <c r="A86" s="5" t="s">
        <v>30</v>
      </c>
      <c r="B86" s="5" t="s">
        <v>613</v>
      </c>
      <c r="C86" s="5" t="s">
        <v>76</v>
      </c>
      <c r="D86" s="6" t="n">
        <v>180</v>
      </c>
      <c r="E86" s="6"/>
      <c r="F86" s="6" t="n">
        <v>24638.25</v>
      </c>
    </row>
    <row r="87" customFormat="false" ht="15" hidden="false" customHeight="true" outlineLevel="0" collapsed="false">
      <c r="A87" s="5" t="s">
        <v>31</v>
      </c>
      <c r="B87" s="5" t="s">
        <v>614</v>
      </c>
      <c r="C87" s="5" t="s">
        <v>76</v>
      </c>
      <c r="D87" s="6" t="n">
        <v>3500</v>
      </c>
      <c r="E87" s="6"/>
      <c r="F87" s="6" t="n">
        <v>21138.25</v>
      </c>
    </row>
    <row r="88" customFormat="false" ht="15" hidden="false" customHeight="true" outlineLevel="0" collapsed="false">
      <c r="A88" s="5" t="s">
        <v>31</v>
      </c>
      <c r="B88" s="5" t="s">
        <v>615</v>
      </c>
      <c r="C88" s="5" t="s">
        <v>76</v>
      </c>
      <c r="D88" s="6" t="n">
        <v>9300</v>
      </c>
      <c r="E88" s="6"/>
      <c r="F88" s="6" t="n">
        <v>11838.25</v>
      </c>
    </row>
    <row r="89" customFormat="false" ht="15" hidden="false" customHeight="true" outlineLevel="0" collapsed="false">
      <c r="A89" s="5" t="s">
        <v>31</v>
      </c>
      <c r="B89" s="5" t="s">
        <v>616</v>
      </c>
      <c r="C89" s="5" t="s">
        <v>76</v>
      </c>
      <c r="D89" s="6" t="n">
        <v>100</v>
      </c>
      <c r="E89" s="6"/>
      <c r="F89" s="6" t="n">
        <v>11738.25</v>
      </c>
    </row>
    <row r="90" customFormat="false" ht="15" hidden="false" customHeight="true" outlineLevel="0" collapsed="false">
      <c r="A90" s="5" t="s">
        <v>32</v>
      </c>
      <c r="B90" s="5" t="s">
        <v>617</v>
      </c>
      <c r="C90" s="5" t="s">
        <v>76</v>
      </c>
      <c r="D90" s="6" t="n">
        <v>10</v>
      </c>
      <c r="E90" s="6"/>
      <c r="F90" s="6" t="n">
        <v>11728.25</v>
      </c>
    </row>
    <row r="91" customFormat="false" ht="15" hidden="false" customHeight="true" outlineLevel="0" collapsed="false">
      <c r="A91" s="5" t="s">
        <v>32</v>
      </c>
      <c r="B91" s="5" t="s">
        <v>618</v>
      </c>
      <c r="C91" s="5" t="s">
        <v>76</v>
      </c>
      <c r="D91" s="6" t="n">
        <v>30</v>
      </c>
      <c r="E91" s="6"/>
      <c r="F91" s="6" t="n">
        <v>11698.25</v>
      </c>
    </row>
    <row r="92" customFormat="false" ht="15" hidden="false" customHeight="true" outlineLevel="0" collapsed="false">
      <c r="A92" s="5" t="s">
        <v>32</v>
      </c>
      <c r="B92" s="5" t="s">
        <v>619</v>
      </c>
      <c r="C92" s="5" t="s">
        <v>76</v>
      </c>
      <c r="D92" s="6" t="n">
        <v>500</v>
      </c>
      <c r="E92" s="6"/>
      <c r="F92" s="6" t="n">
        <v>11198.25</v>
      </c>
    </row>
    <row r="93" customFormat="false" ht="15" hidden="false" customHeight="true" outlineLevel="0" collapsed="false">
      <c r="A93" s="5" t="s">
        <v>32</v>
      </c>
      <c r="B93" s="5" t="s">
        <v>620</v>
      </c>
      <c r="C93" s="5" t="s">
        <v>76</v>
      </c>
      <c r="D93" s="6"/>
      <c r="E93" s="6" t="n">
        <v>1000</v>
      </c>
      <c r="F93" s="6" t="n">
        <v>12198.25</v>
      </c>
    </row>
    <row r="94" customFormat="false" ht="15" hidden="false" customHeight="true" outlineLevel="0" collapsed="false">
      <c r="A94" s="5" t="s">
        <v>32</v>
      </c>
      <c r="B94" s="5" t="s">
        <v>621</v>
      </c>
      <c r="C94" s="5" t="s">
        <v>78</v>
      </c>
      <c r="D94" s="6"/>
      <c r="E94" s="6" t="n">
        <v>1</v>
      </c>
      <c r="F94" s="6" t="n">
        <v>12199.25</v>
      </c>
    </row>
    <row r="95" customFormat="false" ht="15" hidden="false" customHeight="true" outlineLevel="0" collapsed="false">
      <c r="A95" s="5" t="s">
        <v>32</v>
      </c>
      <c r="B95" s="5" t="s">
        <v>622</v>
      </c>
      <c r="C95" s="5" t="s">
        <v>77</v>
      </c>
      <c r="D95" s="6"/>
      <c r="E95" s="6" t="n">
        <v>80000</v>
      </c>
      <c r="F95" s="6" t="n">
        <v>92199.25</v>
      </c>
    </row>
    <row r="96" customFormat="false" ht="15" hidden="false" customHeight="true" outlineLevel="0" collapsed="false">
      <c r="A96" s="5" t="s">
        <v>32</v>
      </c>
      <c r="B96" s="5" t="s">
        <v>623</v>
      </c>
      <c r="C96" s="5" t="s">
        <v>76</v>
      </c>
      <c r="D96" s="6" t="n">
        <v>57000</v>
      </c>
      <c r="E96" s="6"/>
      <c r="F96" s="6" t="n">
        <v>35199.25</v>
      </c>
    </row>
    <row r="97" customFormat="false" ht="15" hidden="false" customHeight="true" outlineLevel="0" collapsed="false">
      <c r="A97" s="5" t="s">
        <v>32</v>
      </c>
      <c r="B97" s="5" t="s">
        <v>624</v>
      </c>
      <c r="C97" s="5" t="s">
        <v>76</v>
      </c>
      <c r="D97" s="6" t="n">
        <v>199</v>
      </c>
      <c r="E97" s="6"/>
      <c r="F97" s="6" t="n">
        <v>35000.25</v>
      </c>
    </row>
    <row r="98" customFormat="false" ht="15" hidden="false" customHeight="true" outlineLevel="0" collapsed="false">
      <c r="A98" s="5" t="s">
        <v>32</v>
      </c>
      <c r="B98" s="5" t="s">
        <v>625</v>
      </c>
      <c r="C98" s="5" t="s">
        <v>76</v>
      </c>
      <c r="D98" s="6" t="n">
        <v>50</v>
      </c>
      <c r="E98" s="6"/>
      <c r="F98" s="6" t="n">
        <v>34950.25</v>
      </c>
    </row>
    <row r="99" customFormat="false" ht="15" hidden="false" customHeight="true" outlineLevel="0" collapsed="false">
      <c r="A99" s="5" t="s">
        <v>33</v>
      </c>
      <c r="B99" s="5" t="s">
        <v>626</v>
      </c>
      <c r="C99" s="5" t="s">
        <v>76</v>
      </c>
      <c r="D99" s="6" t="n">
        <v>20</v>
      </c>
      <c r="E99" s="6"/>
      <c r="F99" s="6" t="n">
        <v>34930.25</v>
      </c>
    </row>
    <row r="100" customFormat="false" ht="15" hidden="false" customHeight="true" outlineLevel="0" collapsed="false">
      <c r="A100" s="5" t="s">
        <v>33</v>
      </c>
      <c r="B100" s="5" t="s">
        <v>627</v>
      </c>
      <c r="C100" s="5" t="s">
        <v>76</v>
      </c>
      <c r="D100" s="6" t="n">
        <v>80</v>
      </c>
      <c r="E100" s="6"/>
      <c r="F100" s="6" t="n">
        <v>34850.25</v>
      </c>
    </row>
    <row r="101" customFormat="false" ht="15" hidden="false" customHeight="true" outlineLevel="0" collapsed="false">
      <c r="A101" s="5" t="s">
        <v>33</v>
      </c>
      <c r="B101" s="5" t="s">
        <v>628</v>
      </c>
      <c r="C101" s="5" t="s">
        <v>76</v>
      </c>
      <c r="D101" s="6" t="n">
        <v>35</v>
      </c>
      <c r="E101" s="6"/>
      <c r="F101" s="6" t="n">
        <v>34815.25</v>
      </c>
    </row>
    <row r="102" customFormat="false" ht="15" hidden="false" customHeight="true" outlineLevel="0" collapsed="false">
      <c r="A102" s="5" t="s">
        <v>33</v>
      </c>
      <c r="B102" s="5" t="s">
        <v>629</v>
      </c>
      <c r="C102" s="5" t="s">
        <v>76</v>
      </c>
      <c r="D102" s="6" t="n">
        <v>10</v>
      </c>
      <c r="E102" s="6"/>
      <c r="F102" s="6" t="n">
        <v>34805.25</v>
      </c>
    </row>
    <row r="103" customFormat="false" ht="15" hidden="false" customHeight="true" outlineLevel="0" collapsed="false">
      <c r="A103" s="5" t="s">
        <v>34</v>
      </c>
      <c r="B103" s="5" t="s">
        <v>630</v>
      </c>
      <c r="C103" s="5" t="s">
        <v>76</v>
      </c>
      <c r="D103" s="6" t="n">
        <v>200</v>
      </c>
      <c r="E103" s="6"/>
      <c r="F103" s="6" t="n">
        <v>34605.25</v>
      </c>
    </row>
    <row r="104" customFormat="false" ht="15" hidden="false" customHeight="true" outlineLevel="0" collapsed="false">
      <c r="A104" s="5" t="s">
        <v>34</v>
      </c>
      <c r="B104" s="5" t="s">
        <v>631</v>
      </c>
      <c r="C104" s="5" t="s">
        <v>76</v>
      </c>
      <c r="D104" s="6" t="n">
        <v>200</v>
      </c>
      <c r="E104" s="6"/>
      <c r="F104" s="6" t="n">
        <v>34405.25</v>
      </c>
    </row>
    <row r="105" customFormat="false" ht="15" hidden="false" customHeight="true" outlineLevel="0" collapsed="false">
      <c r="A105" s="5" t="s">
        <v>34</v>
      </c>
      <c r="B105" s="5" t="s">
        <v>632</v>
      </c>
      <c r="C105" s="5" t="s">
        <v>76</v>
      </c>
      <c r="D105" s="6" t="n">
        <v>9100</v>
      </c>
      <c r="E105" s="6"/>
      <c r="F105" s="6" t="n">
        <v>25305.25</v>
      </c>
    </row>
    <row r="106" customFormat="false" ht="15" hidden="false" customHeight="true" outlineLevel="0" collapsed="false">
      <c r="A106" s="5" t="s">
        <v>34</v>
      </c>
      <c r="B106" s="5" t="s">
        <v>633</v>
      </c>
      <c r="C106" s="5" t="s">
        <v>76</v>
      </c>
      <c r="D106" s="6" t="n">
        <v>80</v>
      </c>
      <c r="E106" s="6"/>
      <c r="F106" s="6" t="n">
        <v>25225.25</v>
      </c>
    </row>
    <row r="107" customFormat="false" ht="15" hidden="false" customHeight="true" outlineLevel="0" collapsed="false">
      <c r="A107" s="5" t="s">
        <v>34</v>
      </c>
      <c r="B107" s="5" t="s">
        <v>634</v>
      </c>
      <c r="C107" s="5" t="s">
        <v>76</v>
      </c>
      <c r="D107" s="6" t="n">
        <v>50</v>
      </c>
      <c r="E107" s="6"/>
      <c r="F107" s="6" t="n">
        <v>25175.25</v>
      </c>
    </row>
    <row r="108" customFormat="false" ht="15" hidden="false" customHeight="true" outlineLevel="0" collapsed="false">
      <c r="A108" s="5" t="s">
        <v>34</v>
      </c>
      <c r="B108" s="5" t="s">
        <v>635</v>
      </c>
      <c r="C108" s="5" t="s">
        <v>76</v>
      </c>
      <c r="D108" s="6" t="n">
        <v>20</v>
      </c>
      <c r="E108" s="6"/>
      <c r="F108" s="6" t="n">
        <v>25155.25</v>
      </c>
    </row>
    <row r="109" customFormat="false" ht="15" hidden="false" customHeight="true" outlineLevel="0" collapsed="false">
      <c r="A109" s="5" t="s">
        <v>34</v>
      </c>
      <c r="B109" s="5" t="s">
        <v>636</v>
      </c>
      <c r="C109" s="5" t="s">
        <v>76</v>
      </c>
      <c r="D109" s="6" t="n">
        <v>160</v>
      </c>
      <c r="E109" s="6"/>
      <c r="F109" s="6" t="n">
        <v>24995.25</v>
      </c>
    </row>
    <row r="110" customFormat="false" ht="15" hidden="false" customHeight="true" outlineLevel="0" collapsed="false">
      <c r="A110" s="5" t="s">
        <v>35</v>
      </c>
      <c r="B110" s="5" t="s">
        <v>637</v>
      </c>
      <c r="C110" s="5" t="s">
        <v>76</v>
      </c>
      <c r="D110" s="6" t="n">
        <v>10</v>
      </c>
      <c r="E110" s="6"/>
      <c r="F110" s="6" t="n">
        <v>24985.25</v>
      </c>
    </row>
    <row r="111" customFormat="false" ht="15" hidden="false" customHeight="true" outlineLevel="0" collapsed="false">
      <c r="A111" s="5" t="s">
        <v>35</v>
      </c>
      <c r="B111" s="5" t="s">
        <v>638</v>
      </c>
      <c r="C111" s="5" t="s">
        <v>76</v>
      </c>
      <c r="D111" s="6" t="n">
        <v>200</v>
      </c>
      <c r="E111" s="6"/>
      <c r="F111" s="6" t="n">
        <v>24785.25</v>
      </c>
    </row>
    <row r="112" customFormat="false" ht="15" hidden="false" customHeight="true" outlineLevel="0" collapsed="false">
      <c r="A112" s="5" t="s">
        <v>35</v>
      </c>
      <c r="B112" s="5" t="s">
        <v>639</v>
      </c>
      <c r="C112" s="5" t="s">
        <v>76</v>
      </c>
      <c r="D112" s="6" t="n">
        <v>30</v>
      </c>
      <c r="E112" s="6"/>
      <c r="F112" s="6" t="n">
        <v>24755.25</v>
      </c>
    </row>
    <row r="113" customFormat="false" ht="15" hidden="false" customHeight="true" outlineLevel="0" collapsed="false">
      <c r="A113" s="5" t="s">
        <v>35</v>
      </c>
      <c r="B113" s="5" t="s">
        <v>640</v>
      </c>
      <c r="C113" s="5" t="s">
        <v>76</v>
      </c>
      <c r="D113" s="6" t="n">
        <v>10</v>
      </c>
      <c r="E113" s="6"/>
      <c r="F113" s="6" t="n">
        <v>24745.25</v>
      </c>
    </row>
    <row r="114" customFormat="false" ht="15" hidden="false" customHeight="true" outlineLevel="0" collapsed="false">
      <c r="A114" s="5" t="s">
        <v>36</v>
      </c>
      <c r="B114" s="5" t="s">
        <v>126</v>
      </c>
      <c r="C114" s="5" t="s">
        <v>76</v>
      </c>
      <c r="D114" s="6" t="n">
        <v>3600</v>
      </c>
      <c r="E114" s="6"/>
      <c r="F114" s="6" t="n">
        <v>21145.25</v>
      </c>
    </row>
    <row r="115" customFormat="false" ht="15" hidden="false" customHeight="true" outlineLevel="0" collapsed="false">
      <c r="A115" s="5" t="s">
        <v>36</v>
      </c>
      <c r="B115" s="5" t="s">
        <v>128</v>
      </c>
      <c r="C115" s="5" t="s">
        <v>76</v>
      </c>
      <c r="D115" s="6"/>
      <c r="E115" s="6" t="n">
        <v>320</v>
      </c>
      <c r="F115" s="6" t="n">
        <v>21465.25</v>
      </c>
    </row>
    <row r="116" customFormat="false" ht="15" hidden="false" customHeight="true" outlineLevel="0" collapsed="false">
      <c r="A116" s="5" t="s">
        <v>36</v>
      </c>
      <c r="B116" s="5" t="s">
        <v>129</v>
      </c>
      <c r="C116" s="5" t="s">
        <v>76</v>
      </c>
      <c r="D116" s="6"/>
      <c r="E116" s="6" t="n">
        <v>1000</v>
      </c>
      <c r="F116" s="6" t="n">
        <v>22465.25</v>
      </c>
    </row>
    <row r="117" customFormat="false" ht="15" hidden="false" customHeight="true" outlineLevel="0" collapsed="false">
      <c r="A117" s="5" t="s">
        <v>37</v>
      </c>
      <c r="B117" s="5" t="s">
        <v>132</v>
      </c>
      <c r="C117" s="5" t="s">
        <v>76</v>
      </c>
      <c r="D117" s="6" t="n">
        <v>200</v>
      </c>
      <c r="E117" s="6"/>
      <c r="F117" s="6" t="n">
        <v>22265.25</v>
      </c>
    </row>
    <row r="118" customFormat="false" ht="15" hidden="false" customHeight="true" outlineLevel="0" collapsed="false">
      <c r="A118" s="5" t="s">
        <v>37</v>
      </c>
      <c r="B118" s="5" t="s">
        <v>133</v>
      </c>
      <c r="C118" s="5" t="s">
        <v>76</v>
      </c>
      <c r="D118" s="6" t="n">
        <v>5200</v>
      </c>
      <c r="E118" s="6"/>
      <c r="F118" s="6" t="n">
        <v>17065.25</v>
      </c>
    </row>
    <row r="119" customFormat="false" ht="15" hidden="false" customHeight="true" outlineLevel="0" collapsed="false">
      <c r="A119" s="5" t="s">
        <v>38</v>
      </c>
      <c r="B119" s="5" t="s">
        <v>135</v>
      </c>
      <c r="C119" s="5" t="s">
        <v>76</v>
      </c>
      <c r="D119" s="6"/>
      <c r="E119" s="6" t="n">
        <v>250</v>
      </c>
      <c r="F119" s="6" t="n">
        <v>17315.25</v>
      </c>
    </row>
    <row r="120" customFormat="false" ht="15" hidden="false" customHeight="true" outlineLevel="0" collapsed="false">
      <c r="A120" s="5" t="s">
        <v>38</v>
      </c>
      <c r="B120" s="5" t="s">
        <v>641</v>
      </c>
      <c r="C120" s="5" t="s">
        <v>76</v>
      </c>
      <c r="D120" s="6" t="n">
        <v>400</v>
      </c>
      <c r="E120" s="6"/>
      <c r="F120" s="6" t="n">
        <v>16915.25</v>
      </c>
    </row>
    <row r="121" customFormat="false" ht="15" hidden="false" customHeight="true" outlineLevel="0" collapsed="false">
      <c r="A121" s="5" t="s">
        <v>38</v>
      </c>
      <c r="B121" s="5" t="s">
        <v>137</v>
      </c>
      <c r="C121" s="5" t="s">
        <v>76</v>
      </c>
      <c r="D121" s="6" t="n">
        <v>30</v>
      </c>
      <c r="E121" s="6"/>
      <c r="F121" s="6" t="n">
        <v>16885.25</v>
      </c>
    </row>
    <row r="122" customFormat="false" ht="15" hidden="false" customHeight="true" outlineLevel="0" collapsed="false">
      <c r="A122" s="5" t="s">
        <v>38</v>
      </c>
      <c r="B122" s="5" t="s">
        <v>138</v>
      </c>
      <c r="C122" s="5" t="s">
        <v>76</v>
      </c>
      <c r="D122" s="6"/>
      <c r="E122" s="6" t="n">
        <v>1000</v>
      </c>
      <c r="F122" s="6" t="n">
        <v>17885.25</v>
      </c>
    </row>
    <row r="123" customFormat="false" ht="15" hidden="false" customHeight="true" outlineLevel="0" collapsed="false">
      <c r="A123" s="5" t="s">
        <v>38</v>
      </c>
      <c r="B123" s="5" t="s">
        <v>139</v>
      </c>
      <c r="C123" s="5" t="s">
        <v>78</v>
      </c>
      <c r="D123" s="6"/>
      <c r="E123" s="6" t="n">
        <v>40000</v>
      </c>
      <c r="F123" s="6" t="n">
        <v>57885.25</v>
      </c>
    </row>
    <row r="124" customFormat="false" ht="15" hidden="false" customHeight="true" outlineLevel="0" collapsed="false">
      <c r="A124" s="5" t="s">
        <v>38</v>
      </c>
      <c r="B124" s="5" t="s">
        <v>141</v>
      </c>
      <c r="C124" s="5" t="s">
        <v>76</v>
      </c>
      <c r="D124" s="6"/>
      <c r="E124" s="6" t="n">
        <v>1500</v>
      </c>
      <c r="F124" s="6" t="n">
        <v>59385.25</v>
      </c>
    </row>
    <row r="125" customFormat="false" ht="15" hidden="false" customHeight="true" outlineLevel="0" collapsed="false">
      <c r="A125" s="5" t="s">
        <v>39</v>
      </c>
      <c r="B125" s="5" t="s">
        <v>144</v>
      </c>
      <c r="C125" s="5" t="s">
        <v>76</v>
      </c>
      <c r="D125" s="6" t="n">
        <v>200</v>
      </c>
      <c r="E125" s="6"/>
      <c r="F125" s="6" t="n">
        <v>59185.25</v>
      </c>
    </row>
    <row r="126" customFormat="false" ht="15" hidden="false" customHeight="true" outlineLevel="0" collapsed="false">
      <c r="A126" s="5" t="s">
        <v>39</v>
      </c>
      <c r="B126" s="5" t="s">
        <v>145</v>
      </c>
      <c r="C126" s="5" t="s">
        <v>76</v>
      </c>
      <c r="D126" s="6" t="n">
        <v>8600</v>
      </c>
      <c r="E126" s="6"/>
      <c r="F126" s="6" t="n">
        <v>50585.25</v>
      </c>
    </row>
    <row r="127" customFormat="false" ht="15" hidden="false" customHeight="true" outlineLevel="0" collapsed="false">
      <c r="A127" s="5" t="s">
        <v>39</v>
      </c>
      <c r="B127" s="5" t="s">
        <v>146</v>
      </c>
      <c r="C127" s="5" t="s">
        <v>76</v>
      </c>
      <c r="D127" s="6" t="n">
        <v>3000</v>
      </c>
      <c r="E127" s="6"/>
      <c r="F127" s="6" t="n">
        <v>47585.25</v>
      </c>
    </row>
    <row r="128" customFormat="false" ht="15" hidden="false" customHeight="true" outlineLevel="0" collapsed="false">
      <c r="A128" s="5" t="s">
        <v>39</v>
      </c>
      <c r="B128" s="5" t="s">
        <v>147</v>
      </c>
      <c r="C128" s="5" t="s">
        <v>76</v>
      </c>
      <c r="D128" s="6" t="n">
        <v>200</v>
      </c>
      <c r="E128" s="6"/>
      <c r="F128" s="6" t="n">
        <v>47385.25</v>
      </c>
    </row>
    <row r="129" customFormat="false" ht="15" hidden="false" customHeight="true" outlineLevel="0" collapsed="false">
      <c r="A129" s="5" t="s">
        <v>40</v>
      </c>
      <c r="B129" s="5" t="s">
        <v>149</v>
      </c>
      <c r="C129" s="5" t="s">
        <v>76</v>
      </c>
      <c r="D129" s="6" t="n">
        <v>50</v>
      </c>
      <c r="E129" s="6"/>
      <c r="F129" s="6" t="n">
        <v>47335.25</v>
      </c>
    </row>
    <row r="130" customFormat="false" ht="15" hidden="false" customHeight="true" outlineLevel="0" collapsed="false">
      <c r="A130" s="5" t="s">
        <v>40</v>
      </c>
      <c r="B130" s="5" t="s">
        <v>150</v>
      </c>
      <c r="C130" s="5" t="s">
        <v>76</v>
      </c>
      <c r="D130" s="6" t="n">
        <v>500</v>
      </c>
      <c r="E130" s="6"/>
      <c r="F130" s="6" t="n">
        <v>46835.25</v>
      </c>
    </row>
    <row r="131" customFormat="false" ht="15" hidden="false" customHeight="true" outlineLevel="0" collapsed="false">
      <c r="A131" s="5" t="s">
        <v>40</v>
      </c>
      <c r="B131" s="5" t="s">
        <v>151</v>
      </c>
      <c r="C131" s="5" t="s">
        <v>76</v>
      </c>
      <c r="D131" s="6"/>
      <c r="E131" s="6" t="n">
        <v>130</v>
      </c>
      <c r="F131" s="6" t="n">
        <v>46965.25</v>
      </c>
    </row>
    <row r="132" customFormat="false" ht="15" hidden="false" customHeight="true" outlineLevel="0" collapsed="false">
      <c r="A132" s="5" t="s">
        <v>41</v>
      </c>
      <c r="B132" s="5" t="s">
        <v>642</v>
      </c>
      <c r="C132" s="5" t="s">
        <v>76</v>
      </c>
      <c r="D132" s="6" t="n">
        <v>20</v>
      </c>
      <c r="E132" s="6"/>
      <c r="F132" s="6" t="n">
        <v>46945.25</v>
      </c>
    </row>
    <row r="133" customFormat="false" ht="15" hidden="false" customHeight="true" outlineLevel="0" collapsed="false">
      <c r="A133" s="5" t="s">
        <v>41</v>
      </c>
      <c r="B133" s="5" t="s">
        <v>154</v>
      </c>
      <c r="C133" s="5" t="s">
        <v>78</v>
      </c>
      <c r="D133" s="6"/>
      <c r="E133" s="6" t="n">
        <v>10000</v>
      </c>
      <c r="F133" s="6" t="n">
        <v>56945.25</v>
      </c>
    </row>
    <row r="134" customFormat="false" ht="15" hidden="false" customHeight="true" outlineLevel="0" collapsed="false">
      <c r="A134" s="5" t="s">
        <v>41</v>
      </c>
      <c r="B134" s="5" t="s">
        <v>155</v>
      </c>
      <c r="C134" s="5" t="s">
        <v>76</v>
      </c>
      <c r="D134" s="6" t="n">
        <v>3600</v>
      </c>
      <c r="E134" s="6"/>
      <c r="F134" s="6" t="n">
        <v>53345.25</v>
      </c>
    </row>
    <row r="135" customFormat="false" ht="15" hidden="false" customHeight="true" outlineLevel="0" collapsed="false">
      <c r="A135" s="5" t="s">
        <v>41</v>
      </c>
      <c r="B135" s="5" t="s">
        <v>156</v>
      </c>
      <c r="C135" s="5" t="s">
        <v>80</v>
      </c>
      <c r="D135" s="6" t="n">
        <v>50000</v>
      </c>
      <c r="E135" s="6"/>
      <c r="F135" s="6" t="n">
        <v>3345.25</v>
      </c>
    </row>
    <row r="136" customFormat="false" ht="15" hidden="false" customHeight="true" outlineLevel="0" collapsed="false">
      <c r="A136" s="5" t="s">
        <v>41</v>
      </c>
      <c r="B136" s="5" t="s">
        <v>158</v>
      </c>
      <c r="C136" s="5" t="s">
        <v>76</v>
      </c>
      <c r="D136" s="6" t="n">
        <v>30</v>
      </c>
      <c r="E136" s="6"/>
      <c r="F136" s="6" t="n">
        <v>3315.25</v>
      </c>
    </row>
    <row r="137" customFormat="false" ht="15" hidden="false" customHeight="true" outlineLevel="0" collapsed="false">
      <c r="A137" s="5" t="s">
        <v>42</v>
      </c>
      <c r="B137" s="5" t="s">
        <v>161</v>
      </c>
      <c r="C137" s="5" t="s">
        <v>76</v>
      </c>
      <c r="D137" s="6" t="n">
        <v>100</v>
      </c>
      <c r="E137" s="6"/>
      <c r="F137" s="6" t="n">
        <v>3215.25</v>
      </c>
    </row>
    <row r="138" customFormat="false" ht="15" hidden="false" customHeight="true" outlineLevel="0" collapsed="false">
      <c r="A138" s="5" t="s">
        <v>42</v>
      </c>
      <c r="B138" s="5" t="s">
        <v>162</v>
      </c>
      <c r="C138" s="5" t="s">
        <v>76</v>
      </c>
      <c r="D138" s="6"/>
      <c r="E138" s="6" t="n">
        <v>4000</v>
      </c>
      <c r="F138" s="6" t="n">
        <v>7215.25</v>
      </c>
    </row>
    <row r="139" customFormat="false" ht="15" hidden="false" customHeight="true" outlineLevel="0" collapsed="false">
      <c r="A139" s="5" t="s">
        <v>42</v>
      </c>
      <c r="B139" s="5" t="s">
        <v>163</v>
      </c>
      <c r="C139" s="5" t="s">
        <v>79</v>
      </c>
      <c r="D139" s="6" t="n">
        <v>13319</v>
      </c>
      <c r="E139" s="6"/>
      <c r="F139" s="6"/>
    </row>
    <row r="140" customFormat="false" ht="15" hidden="false" customHeight="true" outlineLevel="0" collapsed="false">
      <c r="A140" s="5" t="s">
        <v>42</v>
      </c>
      <c r="B140" s="5" t="s">
        <v>163</v>
      </c>
      <c r="C140" s="5" t="s">
        <v>79</v>
      </c>
      <c r="D140" s="6"/>
      <c r="E140" s="6" t="n">
        <v>13319</v>
      </c>
      <c r="F140" s="6" t="n">
        <v>7215.25</v>
      </c>
    </row>
    <row r="141" customFormat="false" ht="15" hidden="false" customHeight="true" outlineLevel="0" collapsed="false">
      <c r="A141" s="5" t="s">
        <v>42</v>
      </c>
      <c r="B141" s="5" t="s">
        <v>164</v>
      </c>
      <c r="C141" s="5" t="s">
        <v>78</v>
      </c>
      <c r="D141" s="6"/>
      <c r="E141" s="6" t="n">
        <v>10000</v>
      </c>
      <c r="F141" s="6" t="n">
        <v>17215.25</v>
      </c>
    </row>
    <row r="142" customFormat="false" ht="15" hidden="false" customHeight="true" outlineLevel="0" collapsed="false">
      <c r="A142" s="5" t="s">
        <v>43</v>
      </c>
      <c r="B142" s="5" t="s">
        <v>171</v>
      </c>
      <c r="C142" s="5" t="s">
        <v>79</v>
      </c>
      <c r="D142" s="6" t="n">
        <v>13319</v>
      </c>
      <c r="E142" s="6"/>
      <c r="F142" s="6" t="n">
        <v>3896.25</v>
      </c>
    </row>
    <row r="143" customFormat="false" ht="15" hidden="false" customHeight="true" outlineLevel="0" collapsed="false">
      <c r="A143" s="5" t="s">
        <v>43</v>
      </c>
      <c r="B143" s="5" t="s">
        <v>172</v>
      </c>
      <c r="C143" s="5" t="s">
        <v>76</v>
      </c>
      <c r="D143" s="6"/>
      <c r="E143" s="6" t="n">
        <v>1860</v>
      </c>
      <c r="F143" s="6" t="n">
        <v>5756.25</v>
      </c>
    </row>
    <row r="144" customFormat="false" ht="15" hidden="false" customHeight="true" outlineLevel="0" collapsed="false">
      <c r="A144" s="5" t="s">
        <v>43</v>
      </c>
      <c r="B144" s="5" t="s">
        <v>173</v>
      </c>
      <c r="C144" s="5" t="s">
        <v>76</v>
      </c>
      <c r="D144" s="6"/>
      <c r="E144" s="6" t="n">
        <v>180</v>
      </c>
      <c r="F144" s="6" t="n">
        <v>5936.25</v>
      </c>
    </row>
    <row r="145" customFormat="false" ht="15" hidden="false" customHeight="true" outlineLevel="0" collapsed="false">
      <c r="A145" s="5" t="s">
        <v>45</v>
      </c>
      <c r="B145" s="5" t="s">
        <v>192</v>
      </c>
      <c r="C145" s="5" t="s">
        <v>83</v>
      </c>
      <c r="D145" s="6" t="n">
        <v>450</v>
      </c>
      <c r="E145" s="6"/>
      <c r="F145" s="6" t="n">
        <v>5486.25</v>
      </c>
    </row>
    <row r="146" customFormat="false" ht="15" hidden="false" customHeight="true" outlineLevel="0" collapsed="false">
      <c r="A146" s="5" t="s">
        <v>46</v>
      </c>
      <c r="B146" s="5" t="s">
        <v>643</v>
      </c>
      <c r="C146" s="5" t="s">
        <v>76</v>
      </c>
      <c r="D146" s="6"/>
      <c r="E146" s="6" t="n">
        <v>3700</v>
      </c>
      <c r="F146" s="6" t="n">
        <v>9186.25</v>
      </c>
    </row>
    <row r="147" customFormat="false" ht="15" hidden="false" customHeight="true" outlineLevel="0" collapsed="false">
      <c r="A147" s="5" t="s">
        <v>46</v>
      </c>
      <c r="B147" s="5" t="s">
        <v>197</v>
      </c>
      <c r="C147" s="5" t="s">
        <v>76</v>
      </c>
      <c r="D147" s="6"/>
      <c r="E147" s="6" t="n">
        <v>584</v>
      </c>
      <c r="F147" s="6" t="n">
        <v>9770.25</v>
      </c>
    </row>
    <row r="148" customFormat="false" ht="15" hidden="false" customHeight="true" outlineLevel="0" collapsed="false">
      <c r="A148" s="5" t="s">
        <v>48</v>
      </c>
      <c r="B148" s="5" t="s">
        <v>215</v>
      </c>
      <c r="C148" s="5" t="s">
        <v>76</v>
      </c>
      <c r="D148" s="6"/>
      <c r="E148" s="6" t="n">
        <v>1500</v>
      </c>
      <c r="F148" s="6" t="n">
        <v>11270.25</v>
      </c>
    </row>
    <row r="149" customFormat="false" ht="15" hidden="false" customHeight="true" outlineLevel="0" collapsed="false">
      <c r="A149" s="5" t="s">
        <v>49</v>
      </c>
      <c r="B149" s="5" t="s">
        <v>221</v>
      </c>
      <c r="C149" s="5" t="s">
        <v>76</v>
      </c>
      <c r="D149" s="6"/>
      <c r="E149" s="6" t="n">
        <v>300</v>
      </c>
      <c r="F149" s="6" t="n">
        <v>11570.25</v>
      </c>
    </row>
    <row r="150" customFormat="false" ht="15" hidden="false" customHeight="true" outlineLevel="0" collapsed="false">
      <c r="A150" s="5" t="s">
        <v>49</v>
      </c>
      <c r="B150" s="5" t="s">
        <v>222</v>
      </c>
      <c r="C150" s="5" t="s">
        <v>76</v>
      </c>
      <c r="D150" s="6"/>
      <c r="E150" s="6" t="n">
        <v>50</v>
      </c>
      <c r="F150" s="6" t="n">
        <v>11620.25</v>
      </c>
    </row>
    <row r="151" customFormat="false" ht="15" hidden="false" customHeight="true" outlineLevel="0" collapsed="false">
      <c r="A151" s="5" t="s">
        <v>49</v>
      </c>
      <c r="B151" s="5" t="s">
        <v>223</v>
      </c>
      <c r="C151" s="5" t="s">
        <v>76</v>
      </c>
      <c r="D151" s="6"/>
      <c r="E151" s="6" t="n">
        <v>800</v>
      </c>
      <c r="F151" s="6" t="n">
        <v>12420.25</v>
      </c>
    </row>
    <row r="152" customFormat="false" ht="15" hidden="false" customHeight="true" outlineLevel="0" collapsed="false">
      <c r="A152" s="5" t="s">
        <v>51</v>
      </c>
      <c r="B152" s="5" t="s">
        <v>233</v>
      </c>
      <c r="C152" s="5" t="s">
        <v>76</v>
      </c>
      <c r="D152" s="6"/>
      <c r="E152" s="6" t="n">
        <v>1537</v>
      </c>
      <c r="F152" s="6" t="n">
        <v>13957.25</v>
      </c>
    </row>
    <row r="153" customFormat="false" ht="15" hidden="false" customHeight="true" outlineLevel="0" collapsed="false">
      <c r="A153" s="5" t="s">
        <v>52</v>
      </c>
      <c r="B153" s="5" t="s">
        <v>241</v>
      </c>
      <c r="C153" s="5" t="s">
        <v>76</v>
      </c>
      <c r="D153" s="6"/>
      <c r="E153" s="6" t="n">
        <v>240</v>
      </c>
      <c r="F153" s="6" t="n">
        <v>14197.25</v>
      </c>
    </row>
    <row r="154" customFormat="false" ht="15" hidden="false" customHeight="true" outlineLevel="0" collapsed="false">
      <c r="A154" s="5" t="s">
        <v>53</v>
      </c>
      <c r="B154" s="5" t="s">
        <v>247</v>
      </c>
      <c r="C154" s="5" t="s">
        <v>76</v>
      </c>
      <c r="D154" s="6"/>
      <c r="E154" s="6" t="n">
        <v>1125</v>
      </c>
      <c r="F154" s="6" t="n">
        <v>15322.25</v>
      </c>
    </row>
    <row r="155" customFormat="false" ht="15" hidden="false" customHeight="true" outlineLevel="0" collapsed="false">
      <c r="A155" s="5" t="s">
        <v>53</v>
      </c>
      <c r="B155" s="5" t="s">
        <v>248</v>
      </c>
      <c r="C155" s="5" t="s">
        <v>76</v>
      </c>
      <c r="D155" s="6"/>
      <c r="E155" s="6" t="n">
        <v>1950</v>
      </c>
      <c r="F155" s="6" t="n">
        <v>17272.25</v>
      </c>
    </row>
    <row r="156" customFormat="false" ht="15" hidden="false" customHeight="true" outlineLevel="0" collapsed="false">
      <c r="A156" s="5" t="s">
        <v>54</v>
      </c>
      <c r="B156" s="5" t="s">
        <v>262</v>
      </c>
      <c r="C156" s="5" t="s">
        <v>76</v>
      </c>
      <c r="D156" s="6" t="n">
        <v>8400</v>
      </c>
      <c r="E156" s="6"/>
      <c r="F156" s="6" t="n">
        <v>8872.25</v>
      </c>
    </row>
    <row r="157" customFormat="false" ht="15" hidden="false" customHeight="true" outlineLevel="0" collapsed="false">
      <c r="A157" s="5" t="s">
        <v>54</v>
      </c>
      <c r="B157" s="5" t="s">
        <v>644</v>
      </c>
      <c r="C157" s="5" t="s">
        <v>76</v>
      </c>
      <c r="D157" s="6" t="n">
        <v>200</v>
      </c>
      <c r="E157" s="6"/>
      <c r="F157" s="6" t="n">
        <v>8672.25</v>
      </c>
    </row>
    <row r="158" customFormat="false" ht="15" hidden="false" customHeight="true" outlineLevel="0" collapsed="false">
      <c r="A158" s="5" t="s">
        <v>54</v>
      </c>
      <c r="B158" s="5" t="s">
        <v>264</v>
      </c>
      <c r="C158" s="5" t="s">
        <v>76</v>
      </c>
      <c r="D158" s="6" t="n">
        <v>170</v>
      </c>
      <c r="E158" s="6"/>
      <c r="F158" s="6" t="n">
        <v>8502.25</v>
      </c>
    </row>
    <row r="159" customFormat="false" ht="15" hidden="false" customHeight="true" outlineLevel="0" collapsed="false">
      <c r="A159" s="5" t="s">
        <v>55</v>
      </c>
      <c r="B159" s="5" t="s">
        <v>270</v>
      </c>
      <c r="C159" s="5" t="s">
        <v>76</v>
      </c>
      <c r="D159" s="6" t="n">
        <v>1200</v>
      </c>
      <c r="E159" s="6"/>
      <c r="F159" s="6" t="n">
        <v>7302.25</v>
      </c>
    </row>
    <row r="160" customFormat="false" ht="15" hidden="false" customHeight="true" outlineLevel="0" collapsed="false">
      <c r="A160" s="5" t="s">
        <v>55</v>
      </c>
      <c r="B160" s="5" t="s">
        <v>271</v>
      </c>
      <c r="C160" s="5" t="s">
        <v>76</v>
      </c>
      <c r="D160" s="6" t="n">
        <v>30</v>
      </c>
      <c r="E160" s="6"/>
      <c r="F160" s="6" t="n">
        <v>7272.25</v>
      </c>
    </row>
    <row r="161" customFormat="false" ht="15" hidden="false" customHeight="true" outlineLevel="0" collapsed="false">
      <c r="A161" s="5" t="s">
        <v>55</v>
      </c>
      <c r="B161" s="5" t="s">
        <v>272</v>
      </c>
      <c r="C161" s="5" t="s">
        <v>76</v>
      </c>
      <c r="D161" s="6" t="n">
        <v>114</v>
      </c>
      <c r="E161" s="6"/>
      <c r="F161" s="6" t="n">
        <v>7158.25</v>
      </c>
    </row>
    <row r="162" customFormat="false" ht="15" hidden="false" customHeight="true" outlineLevel="0" collapsed="false">
      <c r="A162" s="5" t="s">
        <v>55</v>
      </c>
      <c r="B162" s="5" t="s">
        <v>273</v>
      </c>
      <c r="C162" s="5" t="s">
        <v>76</v>
      </c>
      <c r="D162" s="6" t="n">
        <v>1000</v>
      </c>
      <c r="E162" s="6"/>
      <c r="F162" s="6" t="n">
        <v>6158.25</v>
      </c>
    </row>
    <row r="163" customFormat="false" ht="15" hidden="false" customHeight="true" outlineLevel="0" collapsed="false">
      <c r="A163" s="5" t="s">
        <v>55</v>
      </c>
      <c r="B163" s="5" t="s">
        <v>274</v>
      </c>
      <c r="C163" s="5" t="s">
        <v>76</v>
      </c>
      <c r="D163" s="6" t="n">
        <v>160</v>
      </c>
      <c r="E163" s="6"/>
      <c r="F163" s="6" t="n">
        <v>5998.25</v>
      </c>
    </row>
    <row r="164" customFormat="false" ht="15" hidden="false" customHeight="true" outlineLevel="0" collapsed="false">
      <c r="A164" s="5" t="s">
        <v>56</v>
      </c>
      <c r="B164" s="5" t="s">
        <v>276</v>
      </c>
      <c r="C164" s="5" t="s">
        <v>76</v>
      </c>
      <c r="D164" s="6" t="n">
        <v>30</v>
      </c>
      <c r="E164" s="6"/>
      <c r="F164" s="6" t="n">
        <v>5968.25</v>
      </c>
    </row>
    <row r="165" customFormat="false" ht="15" hidden="false" customHeight="true" outlineLevel="0" collapsed="false">
      <c r="A165" s="5" t="s">
        <v>56</v>
      </c>
      <c r="B165" s="5" t="s">
        <v>277</v>
      </c>
      <c r="C165" s="5" t="s">
        <v>76</v>
      </c>
      <c r="D165" s="6"/>
      <c r="E165" s="6" t="n">
        <v>1300</v>
      </c>
      <c r="F165" s="6" t="n">
        <v>7268.25</v>
      </c>
    </row>
    <row r="166" customFormat="false" ht="15" hidden="false" customHeight="true" outlineLevel="0" collapsed="false">
      <c r="A166" s="5" t="s">
        <v>56</v>
      </c>
      <c r="B166" s="5" t="s">
        <v>278</v>
      </c>
      <c r="C166" s="5" t="s">
        <v>76</v>
      </c>
      <c r="D166" s="6" t="n">
        <v>3400</v>
      </c>
      <c r="E166" s="6"/>
      <c r="F166" s="6" t="n">
        <v>3868.25</v>
      </c>
    </row>
    <row r="167" customFormat="false" ht="15" hidden="false" customHeight="true" outlineLevel="0" collapsed="false">
      <c r="A167" s="5" t="s">
        <v>56</v>
      </c>
      <c r="B167" s="5" t="s">
        <v>441</v>
      </c>
      <c r="C167" s="5" t="s">
        <v>76</v>
      </c>
      <c r="D167" s="6" t="n">
        <v>100</v>
      </c>
      <c r="E167" s="6"/>
      <c r="F167" s="6" t="n">
        <v>3768.25</v>
      </c>
    </row>
    <row r="168" customFormat="false" ht="15" hidden="false" customHeight="true" outlineLevel="0" collapsed="false">
      <c r="A168" s="5" t="s">
        <v>58</v>
      </c>
      <c r="B168" s="5" t="s">
        <v>285</v>
      </c>
      <c r="C168" s="5" t="s">
        <v>76</v>
      </c>
      <c r="D168" s="6"/>
      <c r="E168" s="6" t="n">
        <v>4180</v>
      </c>
      <c r="F168" s="6" t="n">
        <v>7948.25</v>
      </c>
    </row>
    <row r="169" customFormat="false" ht="15" hidden="false" customHeight="true" outlineLevel="0" collapsed="false">
      <c r="A169" s="5" t="s">
        <v>59</v>
      </c>
      <c r="B169" s="5" t="s">
        <v>287</v>
      </c>
      <c r="C169" s="5" t="s">
        <v>76</v>
      </c>
      <c r="D169" s="6" t="n">
        <v>4620</v>
      </c>
      <c r="E169" s="6"/>
      <c r="F169" s="6" t="n">
        <v>3328.25</v>
      </c>
    </row>
    <row r="170" customFormat="false" ht="15" hidden="false" customHeight="true" outlineLevel="0" collapsed="false">
      <c r="A170" s="5" t="s">
        <v>59</v>
      </c>
      <c r="B170" s="5" t="s">
        <v>288</v>
      </c>
      <c r="C170" s="5" t="s">
        <v>76</v>
      </c>
      <c r="D170" s="6" t="n">
        <v>3175</v>
      </c>
      <c r="E170" s="6"/>
      <c r="F170" s="6" t="n">
        <v>153.25</v>
      </c>
    </row>
    <row r="171" customFormat="false" ht="15" hidden="false" customHeight="true" outlineLevel="0" collapsed="false">
      <c r="A171" s="5" t="s">
        <v>59</v>
      </c>
      <c r="B171" s="5" t="s">
        <v>289</v>
      </c>
      <c r="C171" s="5" t="s">
        <v>83</v>
      </c>
      <c r="D171" s="6"/>
      <c r="E171" s="6" t="n">
        <v>36.45</v>
      </c>
      <c r="F171" s="6" t="n">
        <v>189.7</v>
      </c>
    </row>
    <row r="172" customFormat="false" ht="15" hidden="false" customHeight="true" outlineLevel="0" collapsed="false">
      <c r="A172" s="5" t="s">
        <v>61</v>
      </c>
      <c r="B172" s="5" t="s">
        <v>291</v>
      </c>
      <c r="C172" s="5" t="s">
        <v>76</v>
      </c>
      <c r="D172" s="6"/>
      <c r="E172" s="6" t="n">
        <v>3780</v>
      </c>
      <c r="F172" s="6" t="n">
        <v>3969.7</v>
      </c>
    </row>
    <row r="173" customFormat="false" ht="15" hidden="false" customHeight="true" outlineLevel="0" collapsed="false">
      <c r="A173" s="5" t="s">
        <v>62</v>
      </c>
      <c r="B173" s="5" t="s">
        <v>292</v>
      </c>
      <c r="C173" s="5" t="s">
        <v>76</v>
      </c>
      <c r="D173" s="6"/>
      <c r="E173" s="6" t="n">
        <v>3400</v>
      </c>
      <c r="F173" s="6" t="n">
        <v>7369.7</v>
      </c>
    </row>
    <row r="174" customFormat="false" ht="15" hidden="false" customHeight="true" outlineLevel="0" collapsed="false">
      <c r="A174" s="5" t="s">
        <v>62</v>
      </c>
      <c r="B174" s="5" t="s">
        <v>293</v>
      </c>
      <c r="C174" s="5" t="s">
        <v>76</v>
      </c>
      <c r="D174" s="6" t="n">
        <v>20</v>
      </c>
      <c r="E174" s="6"/>
      <c r="F174" s="6" t="n">
        <v>7349.7</v>
      </c>
    </row>
    <row r="175" customFormat="false" ht="15" hidden="false" customHeight="true" outlineLevel="0" collapsed="false">
      <c r="A175" s="5" t="s">
        <v>62</v>
      </c>
      <c r="B175" s="5" t="s">
        <v>294</v>
      </c>
      <c r="C175" s="5" t="s">
        <v>76</v>
      </c>
      <c r="D175" s="6"/>
      <c r="E175" s="6" t="n">
        <v>3650</v>
      </c>
      <c r="F175" s="6" t="n">
        <v>10999.7</v>
      </c>
    </row>
    <row r="176" customFormat="false" ht="15" hidden="false" customHeight="true" outlineLevel="0" collapsed="false">
      <c r="A176" s="5" t="s">
        <v>63</v>
      </c>
      <c r="B176" s="5" t="s">
        <v>295</v>
      </c>
      <c r="C176" s="5" t="s">
        <v>76</v>
      </c>
      <c r="D176" s="6"/>
      <c r="E176" s="6" t="n">
        <v>5180</v>
      </c>
      <c r="F176" s="6" t="n">
        <v>16179.7</v>
      </c>
    </row>
    <row r="177" customFormat="false" ht="15" hidden="false" customHeight="true" outlineLevel="0" collapsed="false">
      <c r="A177" s="5" t="s">
        <v>64</v>
      </c>
      <c r="B177" s="5" t="s">
        <v>297</v>
      </c>
      <c r="C177" s="5" t="s">
        <v>76</v>
      </c>
      <c r="D177" s="6"/>
      <c r="E177" s="6" t="n">
        <v>2700</v>
      </c>
      <c r="F177" s="6" t="n">
        <v>18879.7</v>
      </c>
    </row>
    <row r="178" customFormat="false" ht="15" hidden="false" customHeight="true" outlineLevel="0" collapsed="false">
      <c r="A178" s="5" t="s">
        <v>67</v>
      </c>
      <c r="B178" s="5" t="s">
        <v>645</v>
      </c>
      <c r="C178" s="5" t="s">
        <v>76</v>
      </c>
      <c r="D178" s="6" t="n">
        <v>100</v>
      </c>
      <c r="E178" s="6"/>
      <c r="F178" s="6" t="n">
        <v>18779.7</v>
      </c>
    </row>
    <row r="179" customFormat="false" ht="15" hidden="false" customHeight="true" outlineLevel="0" collapsed="false">
      <c r="A179" s="5" t="s">
        <v>67</v>
      </c>
      <c r="B179" s="5" t="s">
        <v>646</v>
      </c>
      <c r="C179" s="5" t="s">
        <v>76</v>
      </c>
      <c r="D179" s="6" t="n">
        <v>35</v>
      </c>
      <c r="E179" s="6"/>
      <c r="F179" s="6" t="n">
        <v>18744.7</v>
      </c>
    </row>
    <row r="180" customFormat="false" ht="15" hidden="false" customHeight="true" outlineLevel="0" collapsed="false">
      <c r="A180" s="11"/>
      <c r="B180" s="11"/>
      <c r="C180" s="7" t="s">
        <v>68</v>
      </c>
      <c r="D180" s="8" t="n">
        <f aca="false">SUM(D5:D179)</f>
        <v>352296</v>
      </c>
      <c r="E180" s="8" t="n">
        <f aca="false">SUM(E5:E179)</f>
        <v>298064.45</v>
      </c>
      <c r="F180" s="11"/>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70"/>
    <col collapsed="false" customWidth="true" hidden="false" outlineLevel="0" max="3" min="3" style="1" width="20"/>
    <col collapsed="false" customWidth="true" hidden="false" outlineLevel="0" max="6" min="4" style="1" width="15"/>
  </cols>
  <sheetData>
    <row r="1" customFormat="false" ht="15.75" hidden="false" customHeight="true" outlineLevel="0" collapsed="false">
      <c r="A1" s="2" t="s">
        <v>647</v>
      </c>
      <c r="B1" s="2"/>
      <c r="C1" s="2"/>
      <c r="D1" s="2"/>
      <c r="E1" s="2"/>
      <c r="F1" s="2"/>
    </row>
    <row r="2" customFormat="false" ht="15" hidden="false" customHeight="true" outlineLevel="0" collapsed="false">
      <c r="A2" s="3" t="s">
        <v>300</v>
      </c>
      <c r="B2" s="3"/>
      <c r="C2" s="3"/>
      <c r="D2" s="3"/>
      <c r="E2" s="3"/>
      <c r="F2" s="3"/>
    </row>
    <row r="4" customFormat="false" ht="15" hidden="false" customHeight="true" outlineLevel="0" collapsed="false">
      <c r="A4" s="26" t="s">
        <v>2</v>
      </c>
      <c r="B4" s="26" t="s">
        <v>120</v>
      </c>
      <c r="C4" s="26" t="s">
        <v>72</v>
      </c>
      <c r="D4" s="26" t="s">
        <v>73</v>
      </c>
      <c r="E4" s="26" t="s">
        <v>74</v>
      </c>
      <c r="F4" s="26" t="s">
        <v>301</v>
      </c>
    </row>
    <row r="5" customFormat="false" ht="15" hidden="false" customHeight="true" outlineLevel="0" collapsed="false">
      <c r="A5" s="5" t="s">
        <v>10</v>
      </c>
      <c r="B5" s="5" t="s">
        <v>648</v>
      </c>
      <c r="C5" s="5" t="s">
        <v>76</v>
      </c>
      <c r="D5" s="6" t="n">
        <v>50</v>
      </c>
      <c r="E5" s="6"/>
      <c r="F5" s="6" t="n">
        <v>89971.03</v>
      </c>
    </row>
    <row r="6" customFormat="false" ht="15" hidden="false" customHeight="true" outlineLevel="0" collapsed="false">
      <c r="A6" s="5" t="s">
        <v>10</v>
      </c>
      <c r="B6" s="5" t="s">
        <v>649</v>
      </c>
      <c r="C6" s="5" t="s">
        <v>76</v>
      </c>
      <c r="D6" s="6" t="n">
        <v>218</v>
      </c>
      <c r="E6" s="6"/>
      <c r="F6" s="6" t="n">
        <v>89753.03</v>
      </c>
    </row>
    <row r="7" customFormat="false" ht="15" hidden="false" customHeight="true" outlineLevel="0" collapsed="false">
      <c r="A7" s="5" t="s">
        <v>10</v>
      </c>
      <c r="B7" s="5" t="s">
        <v>650</v>
      </c>
      <c r="C7" s="5" t="s">
        <v>76</v>
      </c>
      <c r="D7" s="6" t="n">
        <v>318</v>
      </c>
      <c r="E7" s="6"/>
      <c r="F7" s="6" t="n">
        <v>89435.03</v>
      </c>
    </row>
    <row r="8" customFormat="false" ht="15" hidden="false" customHeight="true" outlineLevel="0" collapsed="false">
      <c r="A8" s="5" t="s">
        <v>10</v>
      </c>
      <c r="B8" s="5" t="s">
        <v>651</v>
      </c>
      <c r="C8" s="5" t="s">
        <v>76</v>
      </c>
      <c r="D8" s="6" t="n">
        <v>700</v>
      </c>
      <c r="E8" s="6"/>
      <c r="F8" s="6" t="n">
        <v>88735.03</v>
      </c>
    </row>
    <row r="9" customFormat="false" ht="15" hidden="false" customHeight="true" outlineLevel="0" collapsed="false">
      <c r="A9" s="5" t="s">
        <v>10</v>
      </c>
      <c r="B9" s="5" t="s">
        <v>652</v>
      </c>
      <c r="C9" s="5" t="s">
        <v>76</v>
      </c>
      <c r="D9" s="6" t="n">
        <v>30</v>
      </c>
      <c r="E9" s="6"/>
      <c r="F9" s="6" t="n">
        <v>88705.03</v>
      </c>
    </row>
    <row r="10" customFormat="false" ht="15" hidden="false" customHeight="true" outlineLevel="0" collapsed="false">
      <c r="A10" s="5" t="s">
        <v>11</v>
      </c>
      <c r="B10" s="5" t="s">
        <v>653</v>
      </c>
      <c r="C10" s="5" t="s">
        <v>77</v>
      </c>
      <c r="D10" s="6"/>
      <c r="E10" s="6" t="n">
        <v>1190</v>
      </c>
      <c r="F10" s="6" t="n">
        <v>89895.03</v>
      </c>
    </row>
    <row r="11" customFormat="false" ht="15" hidden="false" customHeight="true" outlineLevel="0" collapsed="false">
      <c r="A11" s="5" t="s">
        <v>11</v>
      </c>
      <c r="B11" s="5" t="s">
        <v>654</v>
      </c>
      <c r="C11" s="5" t="s">
        <v>76</v>
      </c>
      <c r="D11" s="6" t="n">
        <v>200</v>
      </c>
      <c r="E11" s="6"/>
      <c r="F11" s="6" t="n">
        <v>89695.03</v>
      </c>
    </row>
    <row r="12" customFormat="false" ht="15" hidden="false" customHeight="true" outlineLevel="0" collapsed="false">
      <c r="A12" s="5" t="s">
        <v>11</v>
      </c>
      <c r="B12" s="5" t="s">
        <v>655</v>
      </c>
      <c r="C12" s="5" t="s">
        <v>76</v>
      </c>
      <c r="D12" s="6" t="n">
        <v>60</v>
      </c>
      <c r="E12" s="6"/>
      <c r="F12" s="6" t="n">
        <v>89635.03</v>
      </c>
    </row>
    <row r="13" customFormat="false" ht="15" hidden="false" customHeight="true" outlineLevel="0" collapsed="false">
      <c r="A13" s="5" t="s">
        <v>11</v>
      </c>
      <c r="B13" s="5" t="s">
        <v>656</v>
      </c>
      <c r="C13" s="5" t="s">
        <v>76</v>
      </c>
      <c r="D13" s="6" t="n">
        <v>11000</v>
      </c>
      <c r="E13" s="6"/>
      <c r="F13" s="6" t="n">
        <v>78635.03</v>
      </c>
    </row>
    <row r="14" customFormat="false" ht="15" hidden="false" customHeight="true" outlineLevel="0" collapsed="false">
      <c r="A14" s="5" t="s">
        <v>11</v>
      </c>
      <c r="B14" s="5" t="s">
        <v>657</v>
      </c>
      <c r="C14" s="5" t="s">
        <v>76</v>
      </c>
      <c r="D14" s="6" t="n">
        <v>800</v>
      </c>
      <c r="E14" s="6"/>
      <c r="F14" s="6" t="n">
        <v>77835.03</v>
      </c>
    </row>
    <row r="15" customFormat="false" ht="15" hidden="false" customHeight="true" outlineLevel="0" collapsed="false">
      <c r="A15" s="5" t="s">
        <v>11</v>
      </c>
      <c r="B15" s="5" t="s">
        <v>658</v>
      </c>
      <c r="C15" s="5" t="s">
        <v>76</v>
      </c>
      <c r="D15" s="6" t="n">
        <v>40</v>
      </c>
      <c r="E15" s="6"/>
      <c r="F15" s="6" t="n">
        <v>77795.03</v>
      </c>
    </row>
    <row r="16" customFormat="false" ht="15" hidden="false" customHeight="true" outlineLevel="0" collapsed="false">
      <c r="A16" s="5" t="s">
        <v>11</v>
      </c>
      <c r="B16" s="5" t="s">
        <v>659</v>
      </c>
      <c r="C16" s="5" t="s">
        <v>76</v>
      </c>
      <c r="D16" s="6" t="n">
        <v>40</v>
      </c>
      <c r="E16" s="6"/>
      <c r="F16" s="6" t="n">
        <v>77755.03</v>
      </c>
    </row>
    <row r="17" customFormat="false" ht="15" hidden="false" customHeight="true" outlineLevel="0" collapsed="false">
      <c r="A17" s="5" t="s">
        <v>11</v>
      </c>
      <c r="B17" s="5" t="s">
        <v>660</v>
      </c>
      <c r="C17" s="5" t="s">
        <v>76</v>
      </c>
      <c r="D17" s="6" t="n">
        <v>80</v>
      </c>
      <c r="E17" s="6"/>
      <c r="F17" s="6" t="n">
        <v>77675.03</v>
      </c>
    </row>
    <row r="18" customFormat="false" ht="15" hidden="false" customHeight="true" outlineLevel="0" collapsed="false">
      <c r="A18" s="5" t="s">
        <v>12</v>
      </c>
      <c r="B18" s="5" t="s">
        <v>661</v>
      </c>
      <c r="C18" s="5" t="s">
        <v>77</v>
      </c>
      <c r="D18" s="6"/>
      <c r="E18" s="6" t="n">
        <v>6505</v>
      </c>
      <c r="F18" s="6" t="n">
        <v>84180.03</v>
      </c>
    </row>
    <row r="19" customFormat="false" ht="15" hidden="false" customHeight="true" outlineLevel="0" collapsed="false">
      <c r="A19" s="5" t="s">
        <v>12</v>
      </c>
      <c r="B19" s="5" t="s">
        <v>662</v>
      </c>
      <c r="C19" s="5" t="s">
        <v>76</v>
      </c>
      <c r="D19" s="6" t="n">
        <v>250</v>
      </c>
      <c r="E19" s="6"/>
      <c r="F19" s="6" t="n">
        <v>83930.03</v>
      </c>
    </row>
    <row r="20" customFormat="false" ht="15" hidden="false" customHeight="true" outlineLevel="0" collapsed="false">
      <c r="A20" s="5" t="s">
        <v>13</v>
      </c>
      <c r="B20" s="5" t="s">
        <v>663</v>
      </c>
      <c r="C20" s="5" t="s">
        <v>77</v>
      </c>
      <c r="D20" s="6"/>
      <c r="E20" s="6" t="n">
        <v>2985</v>
      </c>
      <c r="F20" s="6" t="n">
        <v>86915.03</v>
      </c>
    </row>
    <row r="21" customFormat="false" ht="15" hidden="false" customHeight="true" outlineLevel="0" collapsed="false">
      <c r="A21" s="5" t="s">
        <v>13</v>
      </c>
      <c r="B21" s="5" t="s">
        <v>664</v>
      </c>
      <c r="C21" s="5" t="s">
        <v>76</v>
      </c>
      <c r="D21" s="6" t="n">
        <v>10900</v>
      </c>
      <c r="E21" s="6"/>
      <c r="F21" s="6" t="n">
        <v>76015.03</v>
      </c>
    </row>
    <row r="22" customFormat="false" ht="15" hidden="false" customHeight="true" outlineLevel="0" collapsed="false">
      <c r="A22" s="5" t="s">
        <v>14</v>
      </c>
      <c r="B22" s="5" t="s">
        <v>665</v>
      </c>
      <c r="C22" s="5" t="s">
        <v>77</v>
      </c>
      <c r="D22" s="6"/>
      <c r="E22" s="6" t="n">
        <v>9105</v>
      </c>
      <c r="F22" s="6" t="n">
        <v>85120.03</v>
      </c>
    </row>
    <row r="23" customFormat="false" ht="15" hidden="false" customHeight="true" outlineLevel="0" collapsed="false">
      <c r="A23" s="5" t="s">
        <v>14</v>
      </c>
      <c r="B23" s="5" t="s">
        <v>666</v>
      </c>
      <c r="C23" s="5" t="s">
        <v>76</v>
      </c>
      <c r="D23" s="6" t="n">
        <v>40</v>
      </c>
      <c r="E23" s="6"/>
      <c r="F23" s="6" t="n">
        <v>85080.03</v>
      </c>
    </row>
    <row r="24" customFormat="false" ht="15" hidden="false" customHeight="true" outlineLevel="0" collapsed="false">
      <c r="A24" s="5" t="s">
        <v>14</v>
      </c>
      <c r="B24" s="5" t="s">
        <v>667</v>
      </c>
      <c r="C24" s="5" t="s">
        <v>76</v>
      </c>
      <c r="D24" s="6" t="n">
        <v>23</v>
      </c>
      <c r="E24" s="6"/>
      <c r="F24" s="6" t="n">
        <v>85057.03</v>
      </c>
    </row>
    <row r="25" customFormat="false" ht="15" hidden="false" customHeight="true" outlineLevel="0" collapsed="false">
      <c r="A25" s="5" t="s">
        <v>14</v>
      </c>
      <c r="B25" s="5" t="s">
        <v>668</v>
      </c>
      <c r="C25" s="5" t="s">
        <v>76</v>
      </c>
      <c r="D25" s="6" t="n">
        <v>10500</v>
      </c>
      <c r="E25" s="6"/>
      <c r="F25" s="6" t="n">
        <v>74557.03</v>
      </c>
    </row>
    <row r="26" customFormat="false" ht="15" hidden="false" customHeight="true" outlineLevel="0" collapsed="false">
      <c r="A26" s="5" t="s">
        <v>14</v>
      </c>
      <c r="B26" s="5" t="s">
        <v>669</v>
      </c>
      <c r="C26" s="5" t="s">
        <v>76</v>
      </c>
      <c r="D26" s="6" t="n">
        <v>12</v>
      </c>
      <c r="E26" s="6"/>
      <c r="F26" s="6" t="n">
        <v>74545.03</v>
      </c>
    </row>
    <row r="27" customFormat="false" ht="15" hidden="false" customHeight="true" outlineLevel="0" collapsed="false">
      <c r="A27" s="5" t="s">
        <v>14</v>
      </c>
      <c r="B27" s="5" t="s">
        <v>670</v>
      </c>
      <c r="C27" s="5" t="s">
        <v>76</v>
      </c>
      <c r="D27" s="6" t="n">
        <v>5</v>
      </c>
      <c r="E27" s="6"/>
      <c r="F27" s="6" t="n">
        <v>74540.03</v>
      </c>
    </row>
    <row r="28" customFormat="false" ht="15" hidden="false" customHeight="true" outlineLevel="0" collapsed="false">
      <c r="A28" s="5" t="s">
        <v>14</v>
      </c>
      <c r="B28" s="5" t="s">
        <v>671</v>
      </c>
      <c r="C28" s="5" t="s">
        <v>76</v>
      </c>
      <c r="D28" s="6" t="n">
        <v>50</v>
      </c>
      <c r="E28" s="6"/>
      <c r="F28" s="6" t="n">
        <v>74490.03</v>
      </c>
    </row>
    <row r="29" customFormat="false" ht="15" hidden="false" customHeight="true" outlineLevel="0" collapsed="false">
      <c r="A29" s="5" t="s">
        <v>15</v>
      </c>
      <c r="B29" s="5" t="s">
        <v>672</v>
      </c>
      <c r="C29" s="5" t="s">
        <v>77</v>
      </c>
      <c r="D29" s="6"/>
      <c r="E29" s="6" t="n">
        <v>12600</v>
      </c>
      <c r="F29" s="6" t="n">
        <v>87090.03</v>
      </c>
    </row>
    <row r="30" customFormat="false" ht="15" hidden="false" customHeight="true" outlineLevel="0" collapsed="false">
      <c r="A30" s="5" t="s">
        <v>15</v>
      </c>
      <c r="B30" s="5" t="s">
        <v>673</v>
      </c>
      <c r="C30" s="5" t="s">
        <v>76</v>
      </c>
      <c r="D30" s="6" t="n">
        <v>20</v>
      </c>
      <c r="E30" s="6"/>
      <c r="F30" s="6" t="n">
        <v>87070.03</v>
      </c>
    </row>
    <row r="31" customFormat="false" ht="15" hidden="false" customHeight="true" outlineLevel="0" collapsed="false">
      <c r="A31" s="5" t="s">
        <v>15</v>
      </c>
      <c r="B31" s="5" t="s">
        <v>674</v>
      </c>
      <c r="C31" s="5" t="s">
        <v>76</v>
      </c>
      <c r="D31" s="6" t="n">
        <v>50</v>
      </c>
      <c r="E31" s="6"/>
      <c r="F31" s="6" t="n">
        <v>87020.03</v>
      </c>
    </row>
    <row r="32" customFormat="false" ht="15" hidden="false" customHeight="true" outlineLevel="0" collapsed="false">
      <c r="A32" s="5" t="s">
        <v>16</v>
      </c>
      <c r="B32" s="5" t="s">
        <v>675</v>
      </c>
      <c r="C32" s="5" t="s">
        <v>77</v>
      </c>
      <c r="D32" s="6"/>
      <c r="E32" s="6" t="n">
        <v>5510</v>
      </c>
      <c r="F32" s="6" t="n">
        <v>92530.03</v>
      </c>
    </row>
    <row r="33" customFormat="false" ht="15" hidden="false" customHeight="true" outlineLevel="0" collapsed="false">
      <c r="A33" s="5" t="s">
        <v>16</v>
      </c>
      <c r="B33" s="5" t="s">
        <v>676</v>
      </c>
      <c r="C33" s="5" t="s">
        <v>76</v>
      </c>
      <c r="D33" s="6" t="n">
        <v>200</v>
      </c>
      <c r="E33" s="6"/>
      <c r="F33" s="6" t="n">
        <v>92330.03</v>
      </c>
    </row>
    <row r="34" customFormat="false" ht="15" hidden="false" customHeight="true" outlineLevel="0" collapsed="false">
      <c r="A34" s="5" t="s">
        <v>16</v>
      </c>
      <c r="B34" s="5" t="s">
        <v>677</v>
      </c>
      <c r="C34" s="5" t="s">
        <v>76</v>
      </c>
      <c r="D34" s="6" t="n">
        <v>36</v>
      </c>
      <c r="E34" s="6"/>
      <c r="F34" s="6" t="n">
        <v>92294.03</v>
      </c>
    </row>
    <row r="35" customFormat="false" ht="15" hidden="false" customHeight="true" outlineLevel="0" collapsed="false">
      <c r="A35" s="5" t="s">
        <v>17</v>
      </c>
      <c r="B35" s="5" t="s">
        <v>678</v>
      </c>
      <c r="C35" s="5" t="s">
        <v>77</v>
      </c>
      <c r="D35" s="6"/>
      <c r="E35" s="6" t="n">
        <v>1685</v>
      </c>
      <c r="F35" s="6" t="n">
        <v>93979.03</v>
      </c>
    </row>
    <row r="36" customFormat="false" ht="15" hidden="false" customHeight="true" outlineLevel="0" collapsed="false">
      <c r="A36" s="5" t="s">
        <v>17</v>
      </c>
      <c r="B36" s="5" t="s">
        <v>679</v>
      </c>
      <c r="C36" s="5" t="s">
        <v>76</v>
      </c>
      <c r="D36" s="6" t="n">
        <v>80</v>
      </c>
      <c r="E36" s="6"/>
      <c r="F36" s="6" t="n">
        <v>93899.03</v>
      </c>
    </row>
    <row r="37" customFormat="false" ht="15" hidden="false" customHeight="true" outlineLevel="0" collapsed="false">
      <c r="A37" s="5" t="s">
        <v>17</v>
      </c>
      <c r="B37" s="5" t="s">
        <v>680</v>
      </c>
      <c r="C37" s="5" t="s">
        <v>76</v>
      </c>
      <c r="D37" s="6" t="n">
        <v>110</v>
      </c>
      <c r="E37" s="6"/>
      <c r="F37" s="6" t="n">
        <v>93789.03</v>
      </c>
    </row>
    <row r="38" customFormat="false" ht="15" hidden="false" customHeight="true" outlineLevel="0" collapsed="false">
      <c r="A38" s="5" t="s">
        <v>18</v>
      </c>
      <c r="B38" s="5" t="s">
        <v>681</v>
      </c>
      <c r="C38" s="5" t="s">
        <v>76</v>
      </c>
      <c r="D38" s="6" t="n">
        <v>3250</v>
      </c>
      <c r="E38" s="6"/>
      <c r="F38" s="6" t="n">
        <v>90539.03</v>
      </c>
    </row>
    <row r="39" customFormat="false" ht="15" hidden="false" customHeight="true" outlineLevel="0" collapsed="false">
      <c r="A39" s="5" t="s">
        <v>19</v>
      </c>
      <c r="B39" s="5" t="s">
        <v>682</v>
      </c>
      <c r="C39" s="5" t="s">
        <v>77</v>
      </c>
      <c r="D39" s="6"/>
      <c r="E39" s="6" t="n">
        <v>3780</v>
      </c>
      <c r="F39" s="6" t="n">
        <v>94319.03</v>
      </c>
    </row>
    <row r="40" customFormat="false" ht="15" hidden="false" customHeight="true" outlineLevel="0" collapsed="false">
      <c r="A40" s="5" t="s">
        <v>20</v>
      </c>
      <c r="B40" s="5" t="s">
        <v>683</v>
      </c>
      <c r="C40" s="5" t="s">
        <v>77</v>
      </c>
      <c r="D40" s="6"/>
      <c r="E40" s="6" t="n">
        <v>7610</v>
      </c>
      <c r="F40" s="6" t="n">
        <v>101929.03</v>
      </c>
    </row>
    <row r="41" customFormat="false" ht="15" hidden="false" customHeight="true" outlineLevel="0" collapsed="false">
      <c r="A41" s="5" t="s">
        <v>21</v>
      </c>
      <c r="B41" s="5" t="s">
        <v>684</v>
      </c>
      <c r="C41" s="5" t="s">
        <v>77</v>
      </c>
      <c r="D41" s="6"/>
      <c r="E41" s="6" t="n">
        <v>8770</v>
      </c>
      <c r="F41" s="6" t="n">
        <v>110699.03</v>
      </c>
    </row>
    <row r="42" customFormat="false" ht="15" hidden="false" customHeight="true" outlineLevel="0" collapsed="false">
      <c r="A42" s="5" t="s">
        <v>22</v>
      </c>
      <c r="B42" s="5" t="s">
        <v>685</v>
      </c>
      <c r="C42" s="5" t="s">
        <v>77</v>
      </c>
      <c r="D42" s="6"/>
      <c r="E42" s="6" t="n">
        <v>2620</v>
      </c>
      <c r="F42" s="6" t="n">
        <v>113319.03</v>
      </c>
    </row>
    <row r="43" customFormat="false" ht="15" hidden="false" customHeight="true" outlineLevel="0" collapsed="false">
      <c r="A43" s="5" t="s">
        <v>23</v>
      </c>
      <c r="B43" s="5" t="s">
        <v>686</v>
      </c>
      <c r="C43" s="5" t="s">
        <v>77</v>
      </c>
      <c r="D43" s="6"/>
      <c r="E43" s="6" t="n">
        <v>2075</v>
      </c>
      <c r="F43" s="6" t="n">
        <v>115394.03</v>
      </c>
    </row>
    <row r="44" customFormat="false" ht="15" hidden="false" customHeight="true" outlineLevel="0" collapsed="false">
      <c r="A44" s="5" t="s">
        <v>24</v>
      </c>
      <c r="B44" s="5" t="s">
        <v>687</v>
      </c>
      <c r="C44" s="5" t="s">
        <v>77</v>
      </c>
      <c r="D44" s="6"/>
      <c r="E44" s="6" t="n">
        <v>5955</v>
      </c>
      <c r="F44" s="6" t="n">
        <v>121349.03</v>
      </c>
    </row>
    <row r="45" customFormat="false" ht="15" hidden="false" customHeight="true" outlineLevel="0" collapsed="false">
      <c r="A45" s="5" t="s">
        <v>25</v>
      </c>
      <c r="B45" s="5" t="s">
        <v>688</v>
      </c>
      <c r="C45" s="5" t="s">
        <v>77</v>
      </c>
      <c r="D45" s="6"/>
      <c r="E45" s="6" t="n">
        <v>5670</v>
      </c>
      <c r="F45" s="6" t="n">
        <v>127019.03</v>
      </c>
    </row>
    <row r="46" customFormat="false" ht="15" hidden="false" customHeight="true" outlineLevel="0" collapsed="false">
      <c r="A46" s="5" t="s">
        <v>25</v>
      </c>
      <c r="B46" s="5" t="s">
        <v>689</v>
      </c>
      <c r="C46" s="5" t="s">
        <v>76</v>
      </c>
      <c r="D46" s="6" t="n">
        <v>99000</v>
      </c>
      <c r="E46" s="6"/>
      <c r="F46" s="6" t="n">
        <v>28019.03</v>
      </c>
    </row>
    <row r="47" customFormat="false" ht="15" hidden="false" customHeight="true" outlineLevel="0" collapsed="false">
      <c r="A47" s="5" t="s">
        <v>26</v>
      </c>
      <c r="B47" s="5" t="s">
        <v>690</v>
      </c>
      <c r="C47" s="5" t="s">
        <v>77</v>
      </c>
      <c r="D47" s="6"/>
      <c r="E47" s="6" t="n">
        <v>870</v>
      </c>
      <c r="F47" s="6" t="n">
        <v>28889.03</v>
      </c>
    </row>
    <row r="48" customFormat="false" ht="15" hidden="false" customHeight="true" outlineLevel="0" collapsed="false">
      <c r="A48" s="5" t="s">
        <v>27</v>
      </c>
      <c r="B48" s="5" t="s">
        <v>691</v>
      </c>
      <c r="C48" s="5" t="s">
        <v>77</v>
      </c>
      <c r="D48" s="6"/>
      <c r="E48" s="6" t="n">
        <v>13615</v>
      </c>
      <c r="F48" s="6" t="n">
        <v>42504.03</v>
      </c>
    </row>
    <row r="49" customFormat="false" ht="15" hidden="false" customHeight="true" outlineLevel="0" collapsed="false">
      <c r="A49" s="5" t="s">
        <v>28</v>
      </c>
      <c r="B49" s="5" t="s">
        <v>692</v>
      </c>
      <c r="C49" s="5" t="s">
        <v>77</v>
      </c>
      <c r="D49" s="6"/>
      <c r="E49" s="6" t="n">
        <v>21745</v>
      </c>
      <c r="F49" s="6" t="n">
        <v>64249.03</v>
      </c>
    </row>
    <row r="50" customFormat="false" ht="15" hidden="false" customHeight="true" outlineLevel="0" collapsed="false">
      <c r="A50" s="5" t="s">
        <v>29</v>
      </c>
      <c r="B50" s="5" t="s">
        <v>693</v>
      </c>
      <c r="C50" s="5" t="s">
        <v>77</v>
      </c>
      <c r="D50" s="6"/>
      <c r="E50" s="6" t="n">
        <v>3190</v>
      </c>
      <c r="F50" s="6" t="n">
        <v>67439.03</v>
      </c>
    </row>
    <row r="51" customFormat="false" ht="15" hidden="false" customHeight="true" outlineLevel="0" collapsed="false">
      <c r="A51" s="5" t="s">
        <v>30</v>
      </c>
      <c r="B51" s="5" t="s">
        <v>694</v>
      </c>
      <c r="C51" s="5" t="s">
        <v>77</v>
      </c>
      <c r="D51" s="6"/>
      <c r="E51" s="6" t="n">
        <v>3955</v>
      </c>
      <c r="F51" s="6" t="n">
        <v>71394.03</v>
      </c>
    </row>
    <row r="52" customFormat="false" ht="15" hidden="false" customHeight="true" outlineLevel="0" collapsed="false">
      <c r="A52" s="5" t="s">
        <v>31</v>
      </c>
      <c r="B52" s="5" t="s">
        <v>695</v>
      </c>
      <c r="C52" s="5" t="s">
        <v>77</v>
      </c>
      <c r="D52" s="6"/>
      <c r="E52" s="6" t="n">
        <v>7346</v>
      </c>
      <c r="F52" s="6" t="n">
        <v>78740.03</v>
      </c>
    </row>
    <row r="53" customFormat="false" ht="15" hidden="false" customHeight="true" outlineLevel="0" collapsed="false">
      <c r="A53" s="5" t="s">
        <v>32</v>
      </c>
      <c r="B53" s="5" t="s">
        <v>696</v>
      </c>
      <c r="C53" s="5" t="s">
        <v>77</v>
      </c>
      <c r="D53" s="6"/>
      <c r="E53" s="6" t="n">
        <v>7505</v>
      </c>
      <c r="F53" s="6" t="n">
        <v>86245.03</v>
      </c>
    </row>
    <row r="54" customFormat="false" ht="15" hidden="false" customHeight="true" outlineLevel="0" collapsed="false">
      <c r="A54" s="5" t="s">
        <v>32</v>
      </c>
      <c r="B54" s="5" t="s">
        <v>697</v>
      </c>
      <c r="C54" s="5" t="s">
        <v>76</v>
      </c>
      <c r="D54" s="6" t="n">
        <v>50000</v>
      </c>
      <c r="E54" s="6"/>
      <c r="F54" s="6" t="n">
        <v>36245.03</v>
      </c>
    </row>
    <row r="55" customFormat="false" ht="15" hidden="false" customHeight="true" outlineLevel="0" collapsed="false">
      <c r="A55" s="5" t="s">
        <v>32</v>
      </c>
      <c r="B55" s="5" t="s">
        <v>698</v>
      </c>
      <c r="C55" s="5" t="s">
        <v>81</v>
      </c>
      <c r="D55" s="6"/>
      <c r="E55" s="6" t="n">
        <v>44000</v>
      </c>
      <c r="F55" s="6" t="n">
        <v>80245.03</v>
      </c>
    </row>
    <row r="56" customFormat="false" ht="15" hidden="false" customHeight="true" outlineLevel="0" collapsed="false">
      <c r="A56" s="5" t="s">
        <v>32</v>
      </c>
      <c r="B56" s="5" t="s">
        <v>699</v>
      </c>
      <c r="C56" s="5" t="s">
        <v>81</v>
      </c>
      <c r="D56" s="6"/>
      <c r="E56" s="6" t="n">
        <v>50000</v>
      </c>
      <c r="F56" s="6" t="n">
        <v>130245.03</v>
      </c>
    </row>
    <row r="57" customFormat="false" ht="15" hidden="false" customHeight="true" outlineLevel="0" collapsed="false">
      <c r="A57" s="5" t="s">
        <v>32</v>
      </c>
      <c r="B57" s="5" t="s">
        <v>700</v>
      </c>
      <c r="C57" s="5" t="s">
        <v>81</v>
      </c>
      <c r="D57" s="6"/>
      <c r="E57" s="6" t="n">
        <v>3000</v>
      </c>
      <c r="F57" s="6" t="n">
        <v>133245.03</v>
      </c>
    </row>
    <row r="58" customFormat="false" ht="15" hidden="false" customHeight="true" outlineLevel="0" collapsed="false">
      <c r="A58" s="5" t="s">
        <v>32</v>
      </c>
      <c r="B58" s="5" t="s">
        <v>701</v>
      </c>
      <c r="C58" s="5" t="s">
        <v>76</v>
      </c>
      <c r="D58" s="6" t="n">
        <v>200</v>
      </c>
      <c r="E58" s="6"/>
      <c r="F58" s="6" t="n">
        <v>133045.03</v>
      </c>
    </row>
    <row r="59" customFormat="false" ht="15" hidden="false" customHeight="true" outlineLevel="0" collapsed="false">
      <c r="A59" s="5" t="s">
        <v>32</v>
      </c>
      <c r="B59" s="5" t="s">
        <v>702</v>
      </c>
      <c r="C59" s="5" t="s">
        <v>82</v>
      </c>
      <c r="D59" s="6" t="n">
        <v>80000</v>
      </c>
      <c r="E59" s="6"/>
      <c r="F59" s="6" t="n">
        <v>53045.03</v>
      </c>
    </row>
    <row r="60" customFormat="false" ht="15" hidden="false" customHeight="true" outlineLevel="0" collapsed="false">
      <c r="A60" s="5" t="s">
        <v>32</v>
      </c>
      <c r="B60" s="5" t="s">
        <v>703</v>
      </c>
      <c r="C60" s="5" t="s">
        <v>76</v>
      </c>
      <c r="D60" s="6" t="n">
        <v>49000</v>
      </c>
      <c r="E60" s="6"/>
      <c r="F60" s="6" t="n">
        <v>4045.03</v>
      </c>
    </row>
    <row r="61" customFormat="false" ht="15" hidden="false" customHeight="true" outlineLevel="0" collapsed="false">
      <c r="A61" s="5" t="s">
        <v>32</v>
      </c>
      <c r="B61" s="5" t="s">
        <v>704</v>
      </c>
      <c r="C61" s="5" t="s">
        <v>78</v>
      </c>
      <c r="D61" s="6" t="n">
        <v>1</v>
      </c>
      <c r="E61" s="6"/>
      <c r="F61" s="6" t="n">
        <v>4044.03</v>
      </c>
    </row>
    <row r="62" customFormat="false" ht="15" hidden="false" customHeight="true" outlineLevel="0" collapsed="false">
      <c r="A62" s="5" t="s">
        <v>33</v>
      </c>
      <c r="B62" s="5" t="s">
        <v>705</v>
      </c>
      <c r="C62" s="5" t="s">
        <v>77</v>
      </c>
      <c r="D62" s="6"/>
      <c r="E62" s="6" t="n">
        <v>9850</v>
      </c>
      <c r="F62" s="6" t="n">
        <v>13894.03</v>
      </c>
    </row>
    <row r="63" customFormat="false" ht="15" hidden="false" customHeight="true" outlineLevel="0" collapsed="false">
      <c r="A63" s="5" t="s">
        <v>34</v>
      </c>
      <c r="B63" s="5" t="s">
        <v>706</v>
      </c>
      <c r="C63" s="5" t="s">
        <v>77</v>
      </c>
      <c r="D63" s="6"/>
      <c r="E63" s="6" t="n">
        <v>7295</v>
      </c>
      <c r="F63" s="6" t="n">
        <v>21189.03</v>
      </c>
    </row>
    <row r="64" customFormat="false" ht="15" hidden="false" customHeight="true" outlineLevel="0" collapsed="false">
      <c r="A64" s="5" t="s">
        <v>35</v>
      </c>
      <c r="B64" s="5" t="s">
        <v>707</v>
      </c>
      <c r="C64" s="5" t="s">
        <v>77</v>
      </c>
      <c r="D64" s="6"/>
      <c r="E64" s="6" t="n">
        <v>4565</v>
      </c>
      <c r="F64" s="6" t="n">
        <v>25754.03</v>
      </c>
    </row>
    <row r="65" customFormat="false" ht="15" hidden="false" customHeight="true" outlineLevel="0" collapsed="false">
      <c r="A65" s="5" t="s">
        <v>36</v>
      </c>
      <c r="B65" s="5" t="s">
        <v>131</v>
      </c>
      <c r="C65" s="5" t="s">
        <v>77</v>
      </c>
      <c r="D65" s="6"/>
      <c r="E65" s="6" t="n">
        <v>2165</v>
      </c>
      <c r="F65" s="6" t="n">
        <v>27919.03</v>
      </c>
    </row>
    <row r="66" customFormat="false" ht="15" hidden="false" customHeight="true" outlineLevel="0" collapsed="false">
      <c r="A66" s="5" t="s">
        <v>37</v>
      </c>
      <c r="B66" s="5" t="s">
        <v>134</v>
      </c>
      <c r="C66" s="5" t="s">
        <v>77</v>
      </c>
      <c r="D66" s="6"/>
      <c r="E66" s="6" t="n">
        <v>14295</v>
      </c>
      <c r="F66" s="6" t="n">
        <v>42214.03</v>
      </c>
    </row>
    <row r="67" customFormat="false" ht="15" hidden="false" customHeight="true" outlineLevel="0" collapsed="false">
      <c r="A67" s="5" t="s">
        <v>38</v>
      </c>
      <c r="B67" s="5" t="s">
        <v>142</v>
      </c>
      <c r="C67" s="5" t="s">
        <v>77</v>
      </c>
      <c r="D67" s="6"/>
      <c r="E67" s="6" t="n">
        <v>8110</v>
      </c>
      <c r="F67" s="6" t="n">
        <v>50324.03</v>
      </c>
    </row>
    <row r="68" customFormat="false" ht="15" hidden="false" customHeight="true" outlineLevel="0" collapsed="false">
      <c r="A68" s="5" t="s">
        <v>38</v>
      </c>
      <c r="B68" s="5" t="s">
        <v>143</v>
      </c>
      <c r="C68" s="5" t="s">
        <v>78</v>
      </c>
      <c r="D68" s="6" t="n">
        <v>40000</v>
      </c>
      <c r="E68" s="6"/>
      <c r="F68" s="6" t="n">
        <v>10324.03</v>
      </c>
    </row>
    <row r="69" customFormat="false" ht="15" hidden="false" customHeight="true" outlineLevel="0" collapsed="false">
      <c r="A69" s="5" t="s">
        <v>39</v>
      </c>
      <c r="B69" s="5" t="s">
        <v>148</v>
      </c>
      <c r="C69" s="5" t="s">
        <v>77</v>
      </c>
      <c r="D69" s="6"/>
      <c r="E69" s="6" t="n">
        <v>2635</v>
      </c>
      <c r="F69" s="6" t="n">
        <v>12959.03</v>
      </c>
    </row>
    <row r="70" customFormat="false" ht="15" hidden="false" customHeight="true" outlineLevel="0" collapsed="false">
      <c r="A70" s="5" t="s">
        <v>40</v>
      </c>
      <c r="B70" s="5" t="s">
        <v>152</v>
      </c>
      <c r="C70" s="5" t="s">
        <v>77</v>
      </c>
      <c r="D70" s="6"/>
      <c r="E70" s="6" t="n">
        <v>1700</v>
      </c>
      <c r="F70" s="6" t="n">
        <v>14659.03</v>
      </c>
    </row>
    <row r="71" customFormat="false" ht="15" hidden="false" customHeight="true" outlineLevel="0" collapsed="false">
      <c r="A71" s="5" t="s">
        <v>41</v>
      </c>
      <c r="B71" s="5" t="s">
        <v>159</v>
      </c>
      <c r="C71" s="5" t="s">
        <v>77</v>
      </c>
      <c r="D71" s="6"/>
      <c r="E71" s="6" t="n">
        <v>3802</v>
      </c>
      <c r="F71" s="6" t="n">
        <v>18461.03</v>
      </c>
    </row>
    <row r="72" customFormat="false" ht="15" hidden="false" customHeight="true" outlineLevel="0" collapsed="false">
      <c r="A72" s="5" t="s">
        <v>41</v>
      </c>
      <c r="B72" s="5" t="s">
        <v>160</v>
      </c>
      <c r="C72" s="5" t="s">
        <v>78</v>
      </c>
      <c r="D72" s="6" t="n">
        <v>10000</v>
      </c>
      <c r="E72" s="6"/>
      <c r="F72" s="6" t="n">
        <v>8461.03</v>
      </c>
    </row>
    <row r="73" customFormat="false" ht="15" hidden="false" customHeight="true" outlineLevel="0" collapsed="false">
      <c r="A73" s="5" t="s">
        <v>42</v>
      </c>
      <c r="B73" s="5" t="s">
        <v>165</v>
      </c>
      <c r="C73" s="5" t="s">
        <v>77</v>
      </c>
      <c r="D73" s="6"/>
      <c r="E73" s="6" t="n">
        <v>10860</v>
      </c>
      <c r="F73" s="6" t="n">
        <v>19321.03</v>
      </c>
    </row>
    <row r="74" customFormat="false" ht="15" hidden="false" customHeight="true" outlineLevel="0" collapsed="false">
      <c r="A74" s="5" t="s">
        <v>42</v>
      </c>
      <c r="B74" s="5" t="s">
        <v>166</v>
      </c>
      <c r="C74" s="5" t="s">
        <v>76</v>
      </c>
      <c r="D74" s="6" t="n">
        <v>3600</v>
      </c>
      <c r="E74" s="6"/>
      <c r="F74" s="6" t="n">
        <v>15721.03</v>
      </c>
    </row>
    <row r="75" customFormat="false" ht="15" hidden="false" customHeight="true" outlineLevel="0" collapsed="false">
      <c r="A75" s="5" t="s">
        <v>42</v>
      </c>
      <c r="B75" s="5" t="s">
        <v>167</v>
      </c>
      <c r="C75" s="5" t="s">
        <v>78</v>
      </c>
      <c r="D75" s="6" t="n">
        <v>10000</v>
      </c>
      <c r="E75" s="6"/>
      <c r="F75" s="6" t="n">
        <v>5721.03</v>
      </c>
    </row>
    <row r="76" customFormat="false" ht="15" hidden="false" customHeight="true" outlineLevel="0" collapsed="false">
      <c r="A76" s="5" t="s">
        <v>42</v>
      </c>
      <c r="B76" s="5" t="s">
        <v>168</v>
      </c>
      <c r="C76" s="5" t="s">
        <v>76</v>
      </c>
      <c r="D76" s="6" t="n">
        <v>140</v>
      </c>
      <c r="E76" s="6"/>
      <c r="F76" s="6" t="n">
        <v>5581.03</v>
      </c>
    </row>
    <row r="77" customFormat="false" ht="15" hidden="false" customHeight="true" outlineLevel="0" collapsed="false">
      <c r="A77" s="5" t="s">
        <v>42</v>
      </c>
      <c r="B77" s="5" t="s">
        <v>169</v>
      </c>
      <c r="C77" s="5" t="s">
        <v>76</v>
      </c>
      <c r="D77" s="6" t="n">
        <v>225</v>
      </c>
      <c r="E77" s="6"/>
      <c r="F77" s="6" t="n">
        <v>5356.03</v>
      </c>
    </row>
    <row r="78" customFormat="false" ht="15" hidden="false" customHeight="true" outlineLevel="0" collapsed="false">
      <c r="A78" s="5" t="s">
        <v>42</v>
      </c>
      <c r="B78" s="5" t="s">
        <v>170</v>
      </c>
      <c r="C78" s="5" t="s">
        <v>76</v>
      </c>
      <c r="D78" s="6" t="n">
        <v>20</v>
      </c>
      <c r="E78" s="6"/>
      <c r="F78" s="6" t="n">
        <v>5336.03</v>
      </c>
    </row>
    <row r="79" customFormat="false" ht="15" hidden="false" customHeight="true" outlineLevel="0" collapsed="false">
      <c r="A79" s="5" t="s">
        <v>43</v>
      </c>
      <c r="B79" s="5" t="s">
        <v>174</v>
      </c>
      <c r="C79" s="5" t="s">
        <v>77</v>
      </c>
      <c r="D79" s="6"/>
      <c r="E79" s="6" t="n">
        <v>3847</v>
      </c>
      <c r="F79" s="6" t="n">
        <v>9183.03</v>
      </c>
    </row>
    <row r="80" customFormat="false" ht="15" hidden="false" customHeight="true" outlineLevel="0" collapsed="false">
      <c r="A80" s="5" t="s">
        <v>43</v>
      </c>
      <c r="B80" s="5" t="s">
        <v>708</v>
      </c>
      <c r="C80" s="5" t="s">
        <v>76</v>
      </c>
      <c r="D80" s="6" t="n">
        <v>30</v>
      </c>
      <c r="E80" s="6"/>
      <c r="F80" s="6" t="n">
        <v>9153.03</v>
      </c>
    </row>
    <row r="81" customFormat="false" ht="15" hidden="false" customHeight="true" outlineLevel="0" collapsed="false">
      <c r="A81" s="5" t="s">
        <v>43</v>
      </c>
      <c r="B81" s="5" t="s">
        <v>176</v>
      </c>
      <c r="C81" s="5" t="s">
        <v>76</v>
      </c>
      <c r="D81" s="6" t="n">
        <v>30</v>
      </c>
      <c r="E81" s="6"/>
      <c r="F81" s="6" t="n">
        <v>9123.03</v>
      </c>
    </row>
    <row r="82" customFormat="false" ht="15" hidden="false" customHeight="true" outlineLevel="0" collapsed="false">
      <c r="A82" s="5" t="s">
        <v>43</v>
      </c>
      <c r="B82" s="5" t="s">
        <v>177</v>
      </c>
      <c r="C82" s="5" t="s">
        <v>76</v>
      </c>
      <c r="D82" s="6" t="n">
        <v>50</v>
      </c>
      <c r="E82" s="6"/>
      <c r="F82" s="6" t="n">
        <v>9073.03</v>
      </c>
    </row>
    <row r="83" customFormat="false" ht="15" hidden="false" customHeight="true" outlineLevel="0" collapsed="false">
      <c r="A83" s="5" t="s">
        <v>43</v>
      </c>
      <c r="B83" s="5" t="s">
        <v>178</v>
      </c>
      <c r="C83" s="5" t="s">
        <v>76</v>
      </c>
      <c r="D83" s="6" t="n">
        <v>60</v>
      </c>
      <c r="E83" s="6"/>
      <c r="F83" s="6" t="n">
        <v>9013.03</v>
      </c>
    </row>
    <row r="84" customFormat="false" ht="15" hidden="false" customHeight="true" outlineLevel="0" collapsed="false">
      <c r="A84" s="5" t="s">
        <v>43</v>
      </c>
      <c r="B84" s="5" t="s">
        <v>179</v>
      </c>
      <c r="C84" s="5" t="s">
        <v>76</v>
      </c>
      <c r="D84" s="6" t="n">
        <v>30</v>
      </c>
      <c r="E84" s="6"/>
      <c r="F84" s="6" t="n">
        <v>8983.03</v>
      </c>
    </row>
    <row r="85" customFormat="false" ht="15" hidden="false" customHeight="true" outlineLevel="0" collapsed="false">
      <c r="A85" s="5" t="s">
        <v>43</v>
      </c>
      <c r="B85" s="5" t="s">
        <v>180</v>
      </c>
      <c r="C85" s="5" t="s">
        <v>76</v>
      </c>
      <c r="D85" s="6" t="n">
        <v>250</v>
      </c>
      <c r="E85" s="6"/>
      <c r="F85" s="6" t="n">
        <v>8733.03</v>
      </c>
    </row>
    <row r="86" customFormat="false" ht="15" hidden="false" customHeight="true" outlineLevel="0" collapsed="false">
      <c r="A86" s="5" t="s">
        <v>43</v>
      </c>
      <c r="B86" s="5" t="s">
        <v>181</v>
      </c>
      <c r="C86" s="5" t="s">
        <v>76</v>
      </c>
      <c r="D86" s="6" t="n">
        <v>800</v>
      </c>
      <c r="E86" s="6"/>
      <c r="F86" s="6" t="n">
        <v>7933.03</v>
      </c>
    </row>
    <row r="87" customFormat="false" ht="15" hidden="false" customHeight="true" outlineLevel="0" collapsed="false">
      <c r="A87" s="5" t="s">
        <v>44</v>
      </c>
      <c r="B87" s="5" t="s">
        <v>182</v>
      </c>
      <c r="C87" s="5" t="s">
        <v>77</v>
      </c>
      <c r="D87" s="6"/>
      <c r="E87" s="6" t="n">
        <v>6065</v>
      </c>
      <c r="F87" s="6" t="n">
        <v>13998.03</v>
      </c>
    </row>
    <row r="88" customFormat="false" ht="15" hidden="false" customHeight="true" outlineLevel="0" collapsed="false">
      <c r="A88" s="5" t="s">
        <v>44</v>
      </c>
      <c r="B88" s="5" t="s">
        <v>183</v>
      </c>
      <c r="C88" s="5" t="s">
        <v>76</v>
      </c>
      <c r="D88" s="6" t="n">
        <v>300</v>
      </c>
      <c r="E88" s="6"/>
      <c r="F88" s="6" t="n">
        <v>13698.03</v>
      </c>
    </row>
    <row r="89" customFormat="false" ht="15" hidden="false" customHeight="true" outlineLevel="0" collapsed="false">
      <c r="A89" s="5" t="s">
        <v>44</v>
      </c>
      <c r="B89" s="5" t="s">
        <v>184</v>
      </c>
      <c r="C89" s="5" t="s">
        <v>76</v>
      </c>
      <c r="D89" s="6" t="n">
        <v>35</v>
      </c>
      <c r="E89" s="6"/>
      <c r="F89" s="6" t="n">
        <v>13663.03</v>
      </c>
    </row>
    <row r="90" customFormat="false" ht="15" hidden="false" customHeight="true" outlineLevel="0" collapsed="false">
      <c r="A90" s="5" t="s">
        <v>44</v>
      </c>
      <c r="B90" s="5" t="s">
        <v>185</v>
      </c>
      <c r="C90" s="5" t="s">
        <v>76</v>
      </c>
      <c r="D90" s="6" t="n">
        <v>20</v>
      </c>
      <c r="E90" s="6"/>
      <c r="F90" s="6" t="n">
        <v>13643.03</v>
      </c>
    </row>
    <row r="91" customFormat="false" ht="15" hidden="false" customHeight="true" outlineLevel="0" collapsed="false">
      <c r="A91" s="5" t="s">
        <v>44</v>
      </c>
      <c r="B91" s="5" t="s">
        <v>186</v>
      </c>
      <c r="C91" s="5" t="s">
        <v>76</v>
      </c>
      <c r="D91" s="6" t="n">
        <v>30</v>
      </c>
      <c r="E91" s="6"/>
      <c r="F91" s="6" t="n">
        <v>13613.03</v>
      </c>
    </row>
    <row r="92" customFormat="false" ht="15" hidden="false" customHeight="true" outlineLevel="0" collapsed="false">
      <c r="A92" s="5" t="s">
        <v>44</v>
      </c>
      <c r="B92" s="5" t="s">
        <v>187</v>
      </c>
      <c r="C92" s="5" t="s">
        <v>76</v>
      </c>
      <c r="D92" s="6" t="n">
        <v>20</v>
      </c>
      <c r="E92" s="6"/>
      <c r="F92" s="6" t="n">
        <v>13593.03</v>
      </c>
    </row>
    <row r="93" customFormat="false" ht="15" hidden="false" customHeight="true" outlineLevel="0" collapsed="false">
      <c r="A93" s="5" t="s">
        <v>44</v>
      </c>
      <c r="B93" s="5" t="s">
        <v>188</v>
      </c>
      <c r="C93" s="5" t="s">
        <v>76</v>
      </c>
      <c r="D93" s="6" t="n">
        <v>150</v>
      </c>
      <c r="E93" s="6"/>
      <c r="F93" s="6" t="n">
        <v>13443.03</v>
      </c>
    </row>
    <row r="94" customFormat="false" ht="15" hidden="false" customHeight="true" outlineLevel="0" collapsed="false">
      <c r="A94" s="5" t="s">
        <v>44</v>
      </c>
      <c r="B94" s="5" t="s">
        <v>189</v>
      </c>
      <c r="C94" s="5" t="s">
        <v>76</v>
      </c>
      <c r="D94" s="6" t="n">
        <v>150</v>
      </c>
      <c r="E94" s="6"/>
      <c r="F94" s="6" t="n">
        <v>13293.03</v>
      </c>
    </row>
    <row r="95" customFormat="false" ht="15" hidden="false" customHeight="true" outlineLevel="0" collapsed="false">
      <c r="A95" s="5" t="s">
        <v>44</v>
      </c>
      <c r="B95" s="5" t="s">
        <v>709</v>
      </c>
      <c r="C95" s="5" t="s">
        <v>76</v>
      </c>
      <c r="D95" s="6" t="n">
        <v>20</v>
      </c>
      <c r="E95" s="6"/>
      <c r="F95" s="6" t="n">
        <v>13273.03</v>
      </c>
    </row>
    <row r="96" customFormat="false" ht="15" hidden="false" customHeight="true" outlineLevel="0" collapsed="false">
      <c r="A96" s="5" t="s">
        <v>44</v>
      </c>
      <c r="B96" s="5" t="s">
        <v>191</v>
      </c>
      <c r="C96" s="5" t="s">
        <v>76</v>
      </c>
      <c r="D96" s="6" t="n">
        <v>80</v>
      </c>
      <c r="E96" s="6"/>
      <c r="F96" s="6" t="n">
        <v>13193.03</v>
      </c>
    </row>
    <row r="97" customFormat="false" ht="15" hidden="false" customHeight="true" outlineLevel="0" collapsed="false">
      <c r="A97" s="5" t="s">
        <v>45</v>
      </c>
      <c r="B97" s="5" t="s">
        <v>193</v>
      </c>
      <c r="C97" s="5" t="s">
        <v>77</v>
      </c>
      <c r="D97" s="6"/>
      <c r="E97" s="6" t="n">
        <v>3435</v>
      </c>
      <c r="F97" s="6" t="n">
        <v>16628.03</v>
      </c>
    </row>
    <row r="98" customFormat="false" ht="15" hidden="false" customHeight="true" outlineLevel="0" collapsed="false">
      <c r="A98" s="5" t="s">
        <v>45</v>
      </c>
      <c r="B98" s="5" t="s">
        <v>194</v>
      </c>
      <c r="C98" s="5" t="s">
        <v>76</v>
      </c>
      <c r="D98" s="6" t="n">
        <v>200</v>
      </c>
      <c r="E98" s="6"/>
      <c r="F98" s="6" t="n">
        <v>16428.03</v>
      </c>
    </row>
    <row r="99" customFormat="false" ht="15" hidden="false" customHeight="true" outlineLevel="0" collapsed="false">
      <c r="A99" s="5" t="s">
        <v>45</v>
      </c>
      <c r="B99" s="5" t="s">
        <v>195</v>
      </c>
      <c r="C99" s="5" t="s">
        <v>76</v>
      </c>
      <c r="D99" s="6" t="n">
        <v>559</v>
      </c>
      <c r="E99" s="6"/>
      <c r="F99" s="6" t="n">
        <v>15869.03</v>
      </c>
    </row>
    <row r="100" customFormat="false" ht="15" hidden="false" customHeight="true" outlineLevel="0" collapsed="false">
      <c r="A100" s="5" t="s">
        <v>46</v>
      </c>
      <c r="B100" s="5" t="s">
        <v>198</v>
      </c>
      <c r="C100" s="5" t="s">
        <v>77</v>
      </c>
      <c r="D100" s="6"/>
      <c r="E100" s="6" t="n">
        <v>3745</v>
      </c>
      <c r="F100" s="6" t="n">
        <v>19614.03</v>
      </c>
    </row>
    <row r="101" customFormat="false" ht="15" hidden="false" customHeight="true" outlineLevel="0" collapsed="false">
      <c r="A101" s="5" t="s">
        <v>46</v>
      </c>
      <c r="B101" s="5" t="s">
        <v>199</v>
      </c>
      <c r="C101" s="5" t="s">
        <v>76</v>
      </c>
      <c r="D101" s="6" t="n">
        <v>500</v>
      </c>
      <c r="E101" s="6"/>
      <c r="F101" s="6" t="n">
        <v>19114.03</v>
      </c>
    </row>
    <row r="102" customFormat="false" ht="15" hidden="false" customHeight="true" outlineLevel="0" collapsed="false">
      <c r="A102" s="5" t="s">
        <v>46</v>
      </c>
      <c r="B102" s="5" t="s">
        <v>200</v>
      </c>
      <c r="C102" s="5" t="s">
        <v>76</v>
      </c>
      <c r="D102" s="6" t="n">
        <v>8594</v>
      </c>
      <c r="E102" s="6"/>
      <c r="F102" s="6" t="n">
        <v>10520.03</v>
      </c>
    </row>
    <row r="103" customFormat="false" ht="15" hidden="false" customHeight="true" outlineLevel="0" collapsed="false">
      <c r="A103" s="5" t="s">
        <v>46</v>
      </c>
      <c r="B103" s="5" t="s">
        <v>201</v>
      </c>
      <c r="C103" s="5" t="s">
        <v>76</v>
      </c>
      <c r="D103" s="6" t="n">
        <v>140</v>
      </c>
      <c r="E103" s="6"/>
      <c r="F103" s="6" t="n">
        <v>10380.03</v>
      </c>
    </row>
    <row r="104" customFormat="false" ht="15" hidden="false" customHeight="true" outlineLevel="0" collapsed="false">
      <c r="A104" s="5" t="s">
        <v>46</v>
      </c>
      <c r="B104" s="5" t="s">
        <v>202</v>
      </c>
      <c r="C104" s="5" t="s">
        <v>76</v>
      </c>
      <c r="D104" s="6" t="n">
        <v>40</v>
      </c>
      <c r="E104" s="6"/>
      <c r="F104" s="6" t="n">
        <v>10340.03</v>
      </c>
    </row>
    <row r="105" customFormat="false" ht="15" hidden="false" customHeight="true" outlineLevel="0" collapsed="false">
      <c r="A105" s="5" t="s">
        <v>46</v>
      </c>
      <c r="B105" s="5" t="s">
        <v>203</v>
      </c>
      <c r="C105" s="5" t="s">
        <v>76</v>
      </c>
      <c r="D105" s="6" t="n">
        <v>300</v>
      </c>
      <c r="E105" s="6"/>
      <c r="F105" s="6" t="n">
        <v>10040.03</v>
      </c>
    </row>
    <row r="106" customFormat="false" ht="15" hidden="false" customHeight="true" outlineLevel="0" collapsed="false">
      <c r="A106" s="5" t="s">
        <v>46</v>
      </c>
      <c r="B106" s="5" t="s">
        <v>204</v>
      </c>
      <c r="C106" s="5" t="s">
        <v>76</v>
      </c>
      <c r="D106" s="6" t="n">
        <v>100</v>
      </c>
      <c r="E106" s="6"/>
      <c r="F106" s="6" t="n">
        <v>9940.03</v>
      </c>
    </row>
    <row r="107" customFormat="false" ht="15" hidden="false" customHeight="true" outlineLevel="0" collapsed="false">
      <c r="A107" s="5" t="s">
        <v>46</v>
      </c>
      <c r="B107" s="5" t="s">
        <v>205</v>
      </c>
      <c r="C107" s="5" t="s">
        <v>76</v>
      </c>
      <c r="D107" s="6" t="n">
        <v>100</v>
      </c>
      <c r="E107" s="6"/>
      <c r="F107" s="6" t="n">
        <v>9840.03</v>
      </c>
    </row>
    <row r="108" customFormat="false" ht="15" hidden="false" customHeight="true" outlineLevel="0" collapsed="false">
      <c r="A108" s="5" t="s">
        <v>46</v>
      </c>
      <c r="B108" s="5" t="s">
        <v>206</v>
      </c>
      <c r="C108" s="5" t="s">
        <v>76</v>
      </c>
      <c r="D108" s="6" t="n">
        <v>20</v>
      </c>
      <c r="E108" s="6"/>
      <c r="F108" s="6" t="n">
        <v>9820.03</v>
      </c>
    </row>
    <row r="109" customFormat="false" ht="15" hidden="false" customHeight="true" outlineLevel="0" collapsed="false">
      <c r="A109" s="5" t="s">
        <v>47</v>
      </c>
      <c r="B109" s="5" t="s">
        <v>207</v>
      </c>
      <c r="C109" s="5" t="s">
        <v>77</v>
      </c>
      <c r="D109" s="6"/>
      <c r="E109" s="6" t="n">
        <v>5290</v>
      </c>
      <c r="F109" s="6" t="n">
        <v>15110.03</v>
      </c>
    </row>
    <row r="110" customFormat="false" ht="15" hidden="false" customHeight="true" outlineLevel="0" collapsed="false">
      <c r="A110" s="5" t="s">
        <v>47</v>
      </c>
      <c r="B110" s="5" t="s">
        <v>710</v>
      </c>
      <c r="C110" s="5" t="s">
        <v>76</v>
      </c>
      <c r="D110" s="6" t="n">
        <v>10</v>
      </c>
      <c r="E110" s="6"/>
      <c r="F110" s="6" t="n">
        <v>15100.03</v>
      </c>
    </row>
    <row r="111" customFormat="false" ht="15" hidden="false" customHeight="true" outlineLevel="0" collapsed="false">
      <c r="A111" s="5" t="s">
        <v>47</v>
      </c>
      <c r="B111" s="5" t="s">
        <v>209</v>
      </c>
      <c r="C111" s="5" t="s">
        <v>76</v>
      </c>
      <c r="D111" s="6" t="n">
        <v>50</v>
      </c>
      <c r="E111" s="6"/>
      <c r="F111" s="6" t="n">
        <v>15050.03</v>
      </c>
    </row>
    <row r="112" customFormat="false" ht="15" hidden="false" customHeight="true" outlineLevel="0" collapsed="false">
      <c r="A112" s="5" t="s">
        <v>47</v>
      </c>
      <c r="B112" s="5" t="s">
        <v>210</v>
      </c>
      <c r="C112" s="5" t="s">
        <v>76</v>
      </c>
      <c r="D112" s="6" t="n">
        <v>30</v>
      </c>
      <c r="E112" s="6"/>
      <c r="F112" s="6" t="n">
        <v>15020.03</v>
      </c>
    </row>
    <row r="113" customFormat="false" ht="15" hidden="false" customHeight="true" outlineLevel="0" collapsed="false">
      <c r="A113" s="5" t="s">
        <v>47</v>
      </c>
      <c r="B113" s="5" t="s">
        <v>211</v>
      </c>
      <c r="C113" s="5" t="s">
        <v>76</v>
      </c>
      <c r="D113" s="6" t="n">
        <v>30</v>
      </c>
      <c r="E113" s="6"/>
      <c r="F113" s="6" t="n">
        <v>14990.03</v>
      </c>
    </row>
    <row r="114" customFormat="false" ht="15" hidden="false" customHeight="true" outlineLevel="0" collapsed="false">
      <c r="A114" s="5" t="s">
        <v>47</v>
      </c>
      <c r="B114" s="5" t="s">
        <v>212</v>
      </c>
      <c r="C114" s="5" t="s">
        <v>76</v>
      </c>
      <c r="D114" s="6" t="n">
        <v>30</v>
      </c>
      <c r="E114" s="6"/>
      <c r="F114" s="6" t="n">
        <v>14960.03</v>
      </c>
    </row>
    <row r="115" customFormat="false" ht="15" hidden="false" customHeight="true" outlineLevel="0" collapsed="false">
      <c r="A115" s="5" t="s">
        <v>47</v>
      </c>
      <c r="B115" s="5" t="s">
        <v>213</v>
      </c>
      <c r="C115" s="5" t="s">
        <v>76</v>
      </c>
      <c r="D115" s="6" t="n">
        <v>375</v>
      </c>
      <c r="E115" s="6"/>
      <c r="F115" s="6" t="n">
        <v>14585.03</v>
      </c>
    </row>
    <row r="116" customFormat="false" ht="15" hidden="false" customHeight="true" outlineLevel="0" collapsed="false">
      <c r="A116" s="5" t="s">
        <v>47</v>
      </c>
      <c r="B116" s="5" t="s">
        <v>214</v>
      </c>
      <c r="C116" s="5" t="s">
        <v>76</v>
      </c>
      <c r="D116" s="6" t="n">
        <v>120</v>
      </c>
      <c r="E116" s="6"/>
      <c r="F116" s="6" t="n">
        <v>14465.03</v>
      </c>
    </row>
    <row r="117" customFormat="false" ht="15" hidden="false" customHeight="true" outlineLevel="0" collapsed="false">
      <c r="A117" s="5" t="s">
        <v>48</v>
      </c>
      <c r="B117" s="5" t="s">
        <v>216</v>
      </c>
      <c r="C117" s="5" t="s">
        <v>77</v>
      </c>
      <c r="D117" s="6"/>
      <c r="E117" s="6" t="n">
        <v>1310</v>
      </c>
      <c r="F117" s="6" t="n">
        <v>15775.03</v>
      </c>
    </row>
    <row r="118" customFormat="false" ht="15" hidden="false" customHeight="true" outlineLevel="0" collapsed="false">
      <c r="A118" s="5" t="s">
        <v>48</v>
      </c>
      <c r="B118" s="5" t="s">
        <v>217</v>
      </c>
      <c r="C118" s="5" t="s">
        <v>76</v>
      </c>
      <c r="D118" s="6" t="n">
        <v>30</v>
      </c>
      <c r="E118" s="6"/>
      <c r="F118" s="6" t="n">
        <v>15745.03</v>
      </c>
    </row>
    <row r="119" customFormat="false" ht="15" hidden="false" customHeight="true" outlineLevel="0" collapsed="false">
      <c r="A119" s="5" t="s">
        <v>48</v>
      </c>
      <c r="B119" s="5" t="s">
        <v>218</v>
      </c>
      <c r="C119" s="5" t="s">
        <v>76</v>
      </c>
      <c r="D119" s="6" t="n">
        <v>65</v>
      </c>
      <c r="E119" s="6"/>
      <c r="F119" s="6" t="n">
        <v>15680.03</v>
      </c>
    </row>
    <row r="120" customFormat="false" ht="15" hidden="false" customHeight="true" outlineLevel="0" collapsed="false">
      <c r="A120" s="5" t="s">
        <v>48</v>
      </c>
      <c r="B120" s="5" t="s">
        <v>219</v>
      </c>
      <c r="C120" s="5" t="s">
        <v>76</v>
      </c>
      <c r="D120" s="6" t="n">
        <v>410</v>
      </c>
      <c r="E120" s="6"/>
      <c r="F120" s="6" t="n">
        <v>15270.03</v>
      </c>
    </row>
    <row r="121" customFormat="false" ht="15" hidden="false" customHeight="true" outlineLevel="0" collapsed="false">
      <c r="A121" s="5" t="s">
        <v>48</v>
      </c>
      <c r="B121" s="5" t="s">
        <v>220</v>
      </c>
      <c r="C121" s="5" t="s">
        <v>76</v>
      </c>
      <c r="D121" s="6" t="n">
        <v>30</v>
      </c>
      <c r="E121" s="6"/>
      <c r="F121" s="6" t="n">
        <v>15240.03</v>
      </c>
    </row>
    <row r="122" customFormat="false" ht="15" hidden="false" customHeight="true" outlineLevel="0" collapsed="false">
      <c r="A122" s="5" t="s">
        <v>49</v>
      </c>
      <c r="B122" s="5" t="s">
        <v>224</v>
      </c>
      <c r="C122" s="5" t="s">
        <v>77</v>
      </c>
      <c r="D122" s="6"/>
      <c r="E122" s="6" t="n">
        <v>9830</v>
      </c>
      <c r="F122" s="6" t="n">
        <v>25070.03</v>
      </c>
    </row>
    <row r="123" customFormat="false" ht="15" hidden="false" customHeight="true" outlineLevel="0" collapsed="false">
      <c r="A123" s="5" t="s">
        <v>49</v>
      </c>
      <c r="B123" s="5" t="s">
        <v>225</v>
      </c>
      <c r="C123" s="5" t="s">
        <v>76</v>
      </c>
      <c r="D123" s="6" t="n">
        <v>60</v>
      </c>
      <c r="E123" s="6"/>
      <c r="F123" s="6" t="n">
        <v>25010.03</v>
      </c>
    </row>
    <row r="124" customFormat="false" ht="15" hidden="false" customHeight="true" outlineLevel="0" collapsed="false">
      <c r="A124" s="5" t="s">
        <v>49</v>
      </c>
      <c r="B124" s="5" t="s">
        <v>226</v>
      </c>
      <c r="C124" s="5" t="s">
        <v>76</v>
      </c>
      <c r="D124" s="6" t="n">
        <v>300</v>
      </c>
      <c r="E124" s="6"/>
      <c r="F124" s="6" t="n">
        <v>24710.03</v>
      </c>
    </row>
    <row r="125" customFormat="false" ht="15" hidden="false" customHeight="true" outlineLevel="0" collapsed="false">
      <c r="A125" s="5" t="s">
        <v>49</v>
      </c>
      <c r="B125" s="5" t="s">
        <v>227</v>
      </c>
      <c r="C125" s="5" t="s">
        <v>76</v>
      </c>
      <c r="D125" s="6" t="n">
        <v>650</v>
      </c>
      <c r="E125" s="6"/>
      <c r="F125" s="6" t="n">
        <v>24060.03</v>
      </c>
    </row>
    <row r="126" customFormat="false" ht="15" hidden="false" customHeight="true" outlineLevel="0" collapsed="false">
      <c r="A126" s="5" t="s">
        <v>49</v>
      </c>
      <c r="B126" s="5" t="s">
        <v>711</v>
      </c>
      <c r="C126" s="5" t="s">
        <v>76</v>
      </c>
      <c r="D126" s="6" t="n">
        <v>40</v>
      </c>
      <c r="E126" s="6"/>
      <c r="F126" s="6" t="n">
        <v>24020.03</v>
      </c>
    </row>
    <row r="127" customFormat="false" ht="15" hidden="false" customHeight="true" outlineLevel="0" collapsed="false">
      <c r="A127" s="5" t="s">
        <v>49</v>
      </c>
      <c r="B127" s="5" t="s">
        <v>229</v>
      </c>
      <c r="C127" s="5" t="s">
        <v>76</v>
      </c>
      <c r="D127" s="6" t="n">
        <v>30</v>
      </c>
      <c r="E127" s="6"/>
      <c r="F127" s="6" t="n">
        <v>23990.03</v>
      </c>
    </row>
    <row r="128" customFormat="false" ht="15" hidden="false" customHeight="true" outlineLevel="0" collapsed="false">
      <c r="A128" s="5" t="s">
        <v>50</v>
      </c>
      <c r="B128" s="5" t="s">
        <v>230</v>
      </c>
      <c r="C128" s="5" t="s">
        <v>77</v>
      </c>
      <c r="D128" s="6"/>
      <c r="E128" s="6" t="n">
        <v>635</v>
      </c>
      <c r="F128" s="6" t="n">
        <v>24625.03</v>
      </c>
    </row>
    <row r="129" customFormat="false" ht="15" hidden="false" customHeight="true" outlineLevel="0" collapsed="false">
      <c r="A129" s="5" t="s">
        <v>50</v>
      </c>
      <c r="B129" s="5" t="s">
        <v>231</v>
      </c>
      <c r="C129" s="5" t="s">
        <v>76</v>
      </c>
      <c r="D129" s="6" t="n">
        <v>11900</v>
      </c>
      <c r="E129" s="6"/>
      <c r="F129" s="6" t="n">
        <v>12725.03</v>
      </c>
    </row>
    <row r="130" customFormat="false" ht="15" hidden="false" customHeight="true" outlineLevel="0" collapsed="false">
      <c r="A130" s="5" t="s">
        <v>50</v>
      </c>
      <c r="B130" s="5" t="s">
        <v>232</v>
      </c>
      <c r="C130" s="5" t="s">
        <v>76</v>
      </c>
      <c r="D130" s="6" t="n">
        <v>140</v>
      </c>
      <c r="E130" s="6"/>
      <c r="F130" s="6" t="n">
        <v>12585.03</v>
      </c>
    </row>
    <row r="131" customFormat="false" ht="15" hidden="false" customHeight="true" outlineLevel="0" collapsed="false">
      <c r="A131" s="5" t="s">
        <v>51</v>
      </c>
      <c r="B131" s="5" t="s">
        <v>234</v>
      </c>
      <c r="C131" s="5" t="s">
        <v>77</v>
      </c>
      <c r="D131" s="6"/>
      <c r="E131" s="6" t="n">
        <v>15360</v>
      </c>
      <c r="F131" s="6" t="n">
        <v>27945.03</v>
      </c>
    </row>
    <row r="132" customFormat="false" ht="15" hidden="false" customHeight="true" outlineLevel="0" collapsed="false">
      <c r="A132" s="5" t="s">
        <v>51</v>
      </c>
      <c r="B132" s="5" t="s">
        <v>235</v>
      </c>
      <c r="C132" s="5" t="s">
        <v>76</v>
      </c>
      <c r="D132" s="6" t="n">
        <v>500</v>
      </c>
      <c r="E132" s="6"/>
      <c r="F132" s="6" t="n">
        <v>27445.03</v>
      </c>
    </row>
    <row r="133" customFormat="false" ht="15" hidden="false" customHeight="true" outlineLevel="0" collapsed="false">
      <c r="A133" s="5" t="s">
        <v>51</v>
      </c>
      <c r="B133" s="5" t="s">
        <v>236</v>
      </c>
      <c r="C133" s="5" t="s">
        <v>76</v>
      </c>
      <c r="D133" s="6" t="n">
        <v>60</v>
      </c>
      <c r="E133" s="6"/>
      <c r="F133" s="6" t="n">
        <v>27385.03</v>
      </c>
    </row>
    <row r="134" customFormat="false" ht="15" hidden="false" customHeight="true" outlineLevel="0" collapsed="false">
      <c r="A134" s="5" t="s">
        <v>51</v>
      </c>
      <c r="B134" s="5" t="s">
        <v>237</v>
      </c>
      <c r="C134" s="5" t="s">
        <v>76</v>
      </c>
      <c r="D134" s="6" t="n">
        <v>20</v>
      </c>
      <c r="E134" s="6"/>
      <c r="F134" s="6" t="n">
        <v>27365.03</v>
      </c>
    </row>
    <row r="135" customFormat="false" ht="15" hidden="false" customHeight="true" outlineLevel="0" collapsed="false">
      <c r="A135" s="5" t="s">
        <v>51</v>
      </c>
      <c r="B135" s="5" t="s">
        <v>238</v>
      </c>
      <c r="C135" s="5" t="s">
        <v>76</v>
      </c>
      <c r="D135" s="6" t="n">
        <v>20</v>
      </c>
      <c r="E135" s="6"/>
      <c r="F135" s="6" t="n">
        <v>27345.03</v>
      </c>
    </row>
    <row r="136" customFormat="false" ht="15" hidden="false" customHeight="true" outlineLevel="0" collapsed="false">
      <c r="A136" s="5" t="s">
        <v>51</v>
      </c>
      <c r="B136" s="5" t="s">
        <v>239</v>
      </c>
      <c r="C136" s="5" t="s">
        <v>76</v>
      </c>
      <c r="D136" s="6" t="n">
        <v>8700</v>
      </c>
      <c r="E136" s="6"/>
      <c r="F136" s="6" t="n">
        <v>18645.03</v>
      </c>
    </row>
    <row r="137" customFormat="false" ht="15" hidden="false" customHeight="true" outlineLevel="0" collapsed="false">
      <c r="A137" s="5" t="s">
        <v>51</v>
      </c>
      <c r="B137" s="5" t="s">
        <v>240</v>
      </c>
      <c r="C137" s="5" t="s">
        <v>76</v>
      </c>
      <c r="D137" s="6" t="n">
        <v>750</v>
      </c>
      <c r="E137" s="6"/>
      <c r="F137" s="6" t="n">
        <v>17895.03</v>
      </c>
    </row>
    <row r="138" customFormat="false" ht="15" hidden="false" customHeight="true" outlineLevel="0" collapsed="false">
      <c r="A138" s="5" t="s">
        <v>52</v>
      </c>
      <c r="B138" s="5" t="s">
        <v>242</v>
      </c>
      <c r="C138" s="5" t="s">
        <v>77</v>
      </c>
      <c r="D138" s="6"/>
      <c r="E138" s="6" t="n">
        <v>3935</v>
      </c>
      <c r="F138" s="6" t="n">
        <v>21830.03</v>
      </c>
    </row>
    <row r="139" customFormat="false" ht="15" hidden="false" customHeight="true" outlineLevel="0" collapsed="false">
      <c r="A139" s="5" t="s">
        <v>52</v>
      </c>
      <c r="B139" s="5" t="s">
        <v>243</v>
      </c>
      <c r="C139" s="5" t="s">
        <v>76</v>
      </c>
      <c r="D139" s="6" t="n">
        <v>30</v>
      </c>
      <c r="E139" s="6"/>
      <c r="F139" s="6" t="n">
        <v>21800.03</v>
      </c>
    </row>
    <row r="140" customFormat="false" ht="15" hidden="false" customHeight="true" outlineLevel="0" collapsed="false">
      <c r="A140" s="5" t="s">
        <v>52</v>
      </c>
      <c r="B140" s="5" t="s">
        <v>244</v>
      </c>
      <c r="C140" s="5" t="s">
        <v>76</v>
      </c>
      <c r="D140" s="6" t="n">
        <v>160</v>
      </c>
      <c r="E140" s="6"/>
      <c r="F140" s="6" t="n">
        <v>21640.03</v>
      </c>
    </row>
    <row r="141" customFormat="false" ht="15" hidden="false" customHeight="true" outlineLevel="0" collapsed="false">
      <c r="A141" s="5" t="s">
        <v>52</v>
      </c>
      <c r="B141" s="5" t="s">
        <v>712</v>
      </c>
      <c r="C141" s="5" t="s">
        <v>76</v>
      </c>
      <c r="D141" s="6" t="n">
        <v>200</v>
      </c>
      <c r="E141" s="6"/>
      <c r="F141" s="6" t="n">
        <v>21440.03</v>
      </c>
    </row>
    <row r="142" customFormat="false" ht="15" hidden="false" customHeight="true" outlineLevel="0" collapsed="false">
      <c r="A142" s="5" t="s">
        <v>52</v>
      </c>
      <c r="B142" s="5" t="s">
        <v>246</v>
      </c>
      <c r="C142" s="5" t="s">
        <v>76</v>
      </c>
      <c r="D142" s="6" t="n">
        <v>20</v>
      </c>
      <c r="E142" s="6"/>
      <c r="F142" s="6" t="n">
        <v>21420.03</v>
      </c>
    </row>
    <row r="143" customFormat="false" ht="15" hidden="false" customHeight="true" outlineLevel="0" collapsed="false">
      <c r="A143" s="5" t="s">
        <v>53</v>
      </c>
      <c r="B143" s="5" t="s">
        <v>249</v>
      </c>
      <c r="C143" s="5" t="s">
        <v>77</v>
      </c>
      <c r="D143" s="6"/>
      <c r="E143" s="6" t="n">
        <v>2885</v>
      </c>
      <c r="F143" s="6" t="n">
        <v>24305.03</v>
      </c>
    </row>
    <row r="144" customFormat="false" ht="15" hidden="false" customHeight="true" outlineLevel="0" collapsed="false">
      <c r="A144" s="5" t="s">
        <v>53</v>
      </c>
      <c r="B144" s="5" t="s">
        <v>250</v>
      </c>
      <c r="C144" s="5" t="s">
        <v>76</v>
      </c>
      <c r="D144" s="6" t="n">
        <v>50</v>
      </c>
      <c r="E144" s="6"/>
      <c r="F144" s="6" t="n">
        <v>24255.03</v>
      </c>
    </row>
    <row r="145" customFormat="false" ht="15" hidden="false" customHeight="true" outlineLevel="0" collapsed="false">
      <c r="A145" s="5" t="s">
        <v>53</v>
      </c>
      <c r="B145" s="5" t="s">
        <v>251</v>
      </c>
      <c r="C145" s="5" t="s">
        <v>76</v>
      </c>
      <c r="D145" s="6" t="n">
        <v>10</v>
      </c>
      <c r="E145" s="6"/>
      <c r="F145" s="6" t="n">
        <v>24245.03</v>
      </c>
    </row>
    <row r="146" customFormat="false" ht="15" hidden="false" customHeight="true" outlineLevel="0" collapsed="false">
      <c r="A146" s="5" t="s">
        <v>53</v>
      </c>
      <c r="B146" s="5" t="s">
        <v>252</v>
      </c>
      <c r="C146" s="5" t="s">
        <v>76</v>
      </c>
      <c r="D146" s="6" t="n">
        <v>20</v>
      </c>
      <c r="E146" s="6"/>
      <c r="F146" s="6" t="n">
        <v>24225.03</v>
      </c>
    </row>
    <row r="147" customFormat="false" ht="15" hidden="false" customHeight="true" outlineLevel="0" collapsed="false">
      <c r="A147" s="5" t="s">
        <v>53</v>
      </c>
      <c r="B147" s="5" t="s">
        <v>253</v>
      </c>
      <c r="C147" s="5" t="s">
        <v>76</v>
      </c>
      <c r="D147" s="6" t="n">
        <v>30</v>
      </c>
      <c r="E147" s="6"/>
      <c r="F147" s="6" t="n">
        <v>24195.03</v>
      </c>
    </row>
    <row r="148" customFormat="false" ht="15" hidden="false" customHeight="true" outlineLevel="0" collapsed="false">
      <c r="A148" s="5" t="s">
        <v>53</v>
      </c>
      <c r="B148" s="5" t="s">
        <v>254</v>
      </c>
      <c r="C148" s="5" t="s">
        <v>76</v>
      </c>
      <c r="D148" s="6" t="n">
        <v>9240</v>
      </c>
      <c r="E148" s="6"/>
      <c r="F148" s="6" t="n">
        <v>14955.03</v>
      </c>
    </row>
    <row r="149" customFormat="false" ht="15" hidden="false" customHeight="true" outlineLevel="0" collapsed="false">
      <c r="A149" s="5" t="s">
        <v>53</v>
      </c>
      <c r="B149" s="5" t="s">
        <v>256</v>
      </c>
      <c r="C149" s="5" t="s">
        <v>76</v>
      </c>
      <c r="D149" s="6" t="n">
        <v>300</v>
      </c>
      <c r="E149" s="6"/>
      <c r="F149" s="6" t="n">
        <v>14655.03</v>
      </c>
    </row>
    <row r="150" customFormat="false" ht="15" hidden="false" customHeight="true" outlineLevel="0" collapsed="false">
      <c r="A150" s="5" t="s">
        <v>53</v>
      </c>
      <c r="B150" s="5" t="s">
        <v>257</v>
      </c>
      <c r="C150" s="5" t="s">
        <v>76</v>
      </c>
      <c r="D150" s="6" t="n">
        <v>30</v>
      </c>
      <c r="E150" s="6"/>
      <c r="F150" s="6" t="n">
        <v>14625.03</v>
      </c>
    </row>
    <row r="151" customFormat="false" ht="15" hidden="false" customHeight="true" outlineLevel="0" collapsed="false">
      <c r="A151" s="5" t="s">
        <v>53</v>
      </c>
      <c r="B151" s="5" t="s">
        <v>258</v>
      </c>
      <c r="C151" s="5" t="s">
        <v>76</v>
      </c>
      <c r="D151" s="6" t="n">
        <v>75</v>
      </c>
      <c r="E151" s="6"/>
      <c r="F151" s="6" t="n">
        <v>14550.03</v>
      </c>
    </row>
    <row r="152" customFormat="false" ht="15" hidden="false" customHeight="true" outlineLevel="0" collapsed="false">
      <c r="A152" s="5" t="s">
        <v>53</v>
      </c>
      <c r="B152" s="5" t="s">
        <v>259</v>
      </c>
      <c r="C152" s="5" t="s">
        <v>76</v>
      </c>
      <c r="D152" s="6" t="n">
        <v>300.9</v>
      </c>
      <c r="E152" s="6"/>
      <c r="F152" s="6" t="n">
        <v>14249.13</v>
      </c>
    </row>
    <row r="153" customFormat="false" ht="15" hidden="false" customHeight="true" outlineLevel="0" collapsed="false">
      <c r="A153" s="5" t="s">
        <v>53</v>
      </c>
      <c r="B153" s="5" t="s">
        <v>260</v>
      </c>
      <c r="C153" s="5" t="s">
        <v>76</v>
      </c>
      <c r="D153" s="6" t="n">
        <v>25</v>
      </c>
      <c r="E153" s="6"/>
      <c r="F153" s="6" t="n">
        <v>14224.13</v>
      </c>
    </row>
    <row r="154" customFormat="false" ht="15" hidden="false" customHeight="true" outlineLevel="0" collapsed="false">
      <c r="A154" s="5" t="s">
        <v>53</v>
      </c>
      <c r="B154" s="5" t="s">
        <v>261</v>
      </c>
      <c r="C154" s="5" t="s">
        <v>76</v>
      </c>
      <c r="D154" s="6" t="n">
        <v>80</v>
      </c>
      <c r="E154" s="6"/>
      <c r="F154" s="6" t="n">
        <v>14144.13</v>
      </c>
    </row>
    <row r="155" customFormat="false" ht="15" hidden="false" customHeight="true" outlineLevel="0" collapsed="false">
      <c r="A155" s="5" t="s">
        <v>54</v>
      </c>
      <c r="B155" s="5" t="s">
        <v>265</v>
      </c>
      <c r="C155" s="5" t="s">
        <v>77</v>
      </c>
      <c r="D155" s="6"/>
      <c r="E155" s="6" t="n">
        <v>2240</v>
      </c>
      <c r="F155" s="6" t="n">
        <v>16384.13</v>
      </c>
    </row>
    <row r="156" customFormat="false" ht="15" hidden="false" customHeight="true" outlineLevel="0" collapsed="false">
      <c r="A156" s="5" t="s">
        <v>54</v>
      </c>
      <c r="B156" s="5" t="s">
        <v>713</v>
      </c>
      <c r="C156" s="5" t="s">
        <v>76</v>
      </c>
      <c r="D156" s="6" t="n">
        <v>50</v>
      </c>
      <c r="E156" s="6"/>
      <c r="F156" s="6" t="n">
        <v>16334.13</v>
      </c>
    </row>
    <row r="157" customFormat="false" ht="15" hidden="false" customHeight="true" outlineLevel="0" collapsed="false">
      <c r="A157" s="5" t="s">
        <v>54</v>
      </c>
      <c r="B157" s="5" t="s">
        <v>267</v>
      </c>
      <c r="C157" s="5" t="s">
        <v>76</v>
      </c>
      <c r="D157" s="6" t="n">
        <v>110</v>
      </c>
      <c r="E157" s="6"/>
      <c r="F157" s="6" t="n">
        <v>16224.13</v>
      </c>
    </row>
    <row r="158" customFormat="false" ht="15" hidden="false" customHeight="true" outlineLevel="0" collapsed="false">
      <c r="A158" s="5" t="s">
        <v>54</v>
      </c>
      <c r="B158" s="5" t="s">
        <v>268</v>
      </c>
      <c r="C158" s="5" t="s">
        <v>76</v>
      </c>
      <c r="D158" s="6" t="n">
        <v>390</v>
      </c>
      <c r="E158" s="6"/>
      <c r="F158" s="6" t="n">
        <v>15834.13</v>
      </c>
    </row>
    <row r="159" customFormat="false" ht="15" hidden="false" customHeight="true" outlineLevel="0" collapsed="false">
      <c r="A159" s="5" t="s">
        <v>54</v>
      </c>
      <c r="B159" s="5" t="s">
        <v>269</v>
      </c>
      <c r="C159" s="5" t="s">
        <v>76</v>
      </c>
      <c r="D159" s="6" t="n">
        <v>9240</v>
      </c>
      <c r="E159" s="6"/>
      <c r="F159" s="6" t="n">
        <v>6594.13</v>
      </c>
    </row>
    <row r="160" customFormat="false" ht="15" hidden="false" customHeight="true" outlineLevel="0" collapsed="false">
      <c r="A160" s="5" t="s">
        <v>55</v>
      </c>
      <c r="B160" s="5" t="s">
        <v>275</v>
      </c>
      <c r="C160" s="5" t="s">
        <v>77</v>
      </c>
      <c r="D160" s="6"/>
      <c r="E160" s="6" t="n">
        <v>3100</v>
      </c>
      <c r="F160" s="6" t="n">
        <v>9694.13</v>
      </c>
    </row>
    <row r="161" customFormat="false" ht="15" hidden="false" customHeight="true" outlineLevel="0" collapsed="false">
      <c r="A161" s="5" t="s">
        <v>56</v>
      </c>
      <c r="B161" s="5" t="s">
        <v>280</v>
      </c>
      <c r="C161" s="5" t="s">
        <v>77</v>
      </c>
      <c r="D161" s="6"/>
      <c r="E161" s="6" t="n">
        <v>2100</v>
      </c>
      <c r="F161" s="6" t="n">
        <v>11794.13</v>
      </c>
    </row>
    <row r="162" customFormat="false" ht="15" hidden="false" customHeight="true" outlineLevel="0" collapsed="false">
      <c r="A162" s="5" t="s">
        <v>57</v>
      </c>
      <c r="B162" s="5" t="s">
        <v>281</v>
      </c>
      <c r="C162" s="5" t="s">
        <v>77</v>
      </c>
      <c r="D162" s="6"/>
      <c r="E162" s="6" t="n">
        <v>120</v>
      </c>
      <c r="F162" s="6" t="n">
        <v>11914.13</v>
      </c>
    </row>
    <row r="163" customFormat="false" ht="15" hidden="false" customHeight="true" outlineLevel="0" collapsed="false">
      <c r="A163" s="5" t="s">
        <v>57</v>
      </c>
      <c r="B163" s="5" t="s">
        <v>282</v>
      </c>
      <c r="C163" s="5" t="s">
        <v>76</v>
      </c>
      <c r="D163" s="6" t="n">
        <v>9240</v>
      </c>
      <c r="E163" s="6"/>
      <c r="F163" s="6" t="n">
        <v>2674.13</v>
      </c>
    </row>
    <row r="164" customFormat="false" ht="15" hidden="false" customHeight="true" outlineLevel="0" collapsed="false">
      <c r="A164" s="5" t="s">
        <v>57</v>
      </c>
      <c r="B164" s="5" t="s">
        <v>283</v>
      </c>
      <c r="C164" s="5" t="s">
        <v>76</v>
      </c>
      <c r="D164" s="6" t="n">
        <v>105</v>
      </c>
      <c r="E164" s="6"/>
      <c r="F164" s="6" t="n">
        <v>2569.13</v>
      </c>
    </row>
    <row r="165" customFormat="false" ht="15" hidden="false" customHeight="true" outlineLevel="0" collapsed="false">
      <c r="A165" s="5" t="s">
        <v>57</v>
      </c>
      <c r="B165" s="5" t="s">
        <v>284</v>
      </c>
      <c r="C165" s="5" t="s">
        <v>76</v>
      </c>
      <c r="D165" s="6" t="n">
        <v>40</v>
      </c>
      <c r="E165" s="6"/>
      <c r="F165" s="6" t="n">
        <v>2529.13</v>
      </c>
    </row>
    <row r="166" customFormat="false" ht="15" hidden="false" customHeight="true" outlineLevel="0" collapsed="false">
      <c r="A166" s="5" t="s">
        <v>58</v>
      </c>
      <c r="B166" s="5" t="s">
        <v>286</v>
      </c>
      <c r="C166" s="5" t="s">
        <v>76</v>
      </c>
      <c r="D166" s="6" t="n">
        <v>500</v>
      </c>
      <c r="E166" s="6"/>
      <c r="F166" s="6" t="n">
        <v>2029.13</v>
      </c>
    </row>
    <row r="167" customFormat="false" ht="15" hidden="false" customHeight="true" outlineLevel="0" collapsed="false">
      <c r="A167" s="5" t="s">
        <v>59</v>
      </c>
      <c r="B167" s="5" t="s">
        <v>290</v>
      </c>
      <c r="C167" s="5" t="s">
        <v>76</v>
      </c>
      <c r="D167" s="6" t="n">
        <v>2000</v>
      </c>
      <c r="E167" s="6"/>
      <c r="F167" s="6" t="n">
        <v>29.13</v>
      </c>
    </row>
    <row r="168" customFormat="false" ht="15" hidden="false" customHeight="true" outlineLevel="0" collapsed="false">
      <c r="A168" s="5" t="s">
        <v>63</v>
      </c>
      <c r="B168" s="5" t="s">
        <v>296</v>
      </c>
      <c r="C168" s="5" t="s">
        <v>76</v>
      </c>
      <c r="D168" s="6" t="n">
        <v>20</v>
      </c>
      <c r="E168" s="6"/>
      <c r="F168" s="6" t="n">
        <v>9.13</v>
      </c>
    </row>
    <row r="169" customFormat="false" ht="15" hidden="false" customHeight="true" outlineLevel="0" collapsed="false">
      <c r="A169" s="5" t="s">
        <v>66</v>
      </c>
      <c r="B169" s="5" t="s">
        <v>714</v>
      </c>
      <c r="C169" s="5" t="s">
        <v>76</v>
      </c>
      <c r="D169" s="6"/>
      <c r="E169" s="6" t="n">
        <v>1</v>
      </c>
      <c r="F169" s="6" t="n">
        <v>10.13</v>
      </c>
    </row>
    <row r="170" customFormat="false" ht="15" hidden="false" customHeight="true" outlineLevel="0" collapsed="false">
      <c r="A170" s="11"/>
      <c r="B170" s="11"/>
      <c r="C170" s="7" t="s">
        <v>68</v>
      </c>
      <c r="D170" s="8" t="n">
        <f aca="false">SUM(D5:D169)</f>
        <v>450471.9</v>
      </c>
      <c r="E170" s="8" t="n">
        <f aca="false">SUM(E5:E169)</f>
        <v>360461</v>
      </c>
      <c r="F170" s="11"/>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2026-09-02T09:09:44Z</dcterms:created>
  <dc:creator>openpyxl</dc:creator>
  <dc:description/>
  <dc:language>en-US</dc:language>
  <cp:lastModifiedBy/>
  <dcterms:modified xsi:type="dcterms:W3CDTF">2026-09-02T09:38:25Z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